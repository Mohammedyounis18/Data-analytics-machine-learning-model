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medrog\Downloads\"/>
    </mc:Choice>
  </mc:AlternateContent>
  <xr:revisionPtr revIDLastSave="0" documentId="13_ncr:1_{7711936D-6B6B-42C4-9E4D-2152F6F23B6C}" xr6:coauthVersionLast="47" xr6:coauthVersionMax="47" xr10:uidLastSave="{00000000-0000-0000-0000-000000000000}"/>
  <bookViews>
    <workbookView xWindow="-110" yWindow="-110" windowWidth="25820" windowHeight="13900" xr2:uid="{C0F900C7-E349-4AD7-8C85-1E299F40DB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2" i="1" l="1"/>
  <c r="J102" i="1"/>
  <c r="I102" i="1"/>
  <c r="K101" i="1"/>
  <c r="J101" i="1"/>
  <c r="I101" i="1"/>
  <c r="K100" i="1"/>
  <c r="J100" i="1"/>
  <c r="I100" i="1"/>
  <c r="K99" i="1"/>
  <c r="J99" i="1"/>
  <c r="I99" i="1"/>
  <c r="K98" i="1"/>
  <c r="J98" i="1"/>
  <c r="I98" i="1"/>
  <c r="K97" i="1"/>
  <c r="J97" i="1"/>
  <c r="I97" i="1"/>
  <c r="K96" i="1"/>
  <c r="J96" i="1"/>
  <c r="I96" i="1"/>
  <c r="K95" i="1"/>
  <c r="J95" i="1"/>
  <c r="I95" i="1"/>
  <c r="K94" i="1"/>
  <c r="J94" i="1"/>
  <c r="I94" i="1"/>
  <c r="K93" i="1"/>
  <c r="J93" i="1"/>
  <c r="I93" i="1"/>
  <c r="K92" i="1"/>
  <c r="J92" i="1"/>
  <c r="I92" i="1"/>
  <c r="K91" i="1"/>
  <c r="J91" i="1"/>
  <c r="I91" i="1"/>
  <c r="K90" i="1"/>
  <c r="J90" i="1"/>
  <c r="I90" i="1"/>
  <c r="K89" i="1"/>
  <c r="J89" i="1"/>
  <c r="I89" i="1"/>
  <c r="K88" i="1"/>
  <c r="J88" i="1"/>
  <c r="I88" i="1"/>
  <c r="K87" i="1"/>
  <c r="J87" i="1"/>
  <c r="I87" i="1"/>
  <c r="K86" i="1"/>
  <c r="J86" i="1"/>
  <c r="I86" i="1"/>
  <c r="K85" i="1"/>
  <c r="J85" i="1"/>
  <c r="I85" i="1"/>
  <c r="K84" i="1"/>
  <c r="J84" i="1"/>
  <c r="I84" i="1"/>
  <c r="K83" i="1"/>
  <c r="J83" i="1"/>
  <c r="I83" i="1"/>
  <c r="K82" i="1"/>
  <c r="J82" i="1"/>
  <c r="I82" i="1"/>
  <c r="K81" i="1"/>
  <c r="J81" i="1"/>
  <c r="I81" i="1"/>
  <c r="K80" i="1"/>
  <c r="J80" i="1"/>
  <c r="I80" i="1"/>
  <c r="K79" i="1"/>
  <c r="J79" i="1"/>
  <c r="I79" i="1"/>
  <c r="K78" i="1"/>
  <c r="J78" i="1"/>
  <c r="I78" i="1"/>
  <c r="K77" i="1"/>
  <c r="J77" i="1"/>
  <c r="I77" i="1"/>
  <c r="K76" i="1"/>
  <c r="J76" i="1"/>
  <c r="I76" i="1"/>
  <c r="K75" i="1"/>
  <c r="J75" i="1"/>
  <c r="I75" i="1"/>
  <c r="K74" i="1"/>
  <c r="J74" i="1"/>
  <c r="I74" i="1"/>
  <c r="K73" i="1"/>
  <c r="J73" i="1"/>
  <c r="I73" i="1"/>
  <c r="K72" i="1"/>
  <c r="J72" i="1"/>
  <c r="I72" i="1"/>
  <c r="K71" i="1"/>
  <c r="J71" i="1"/>
  <c r="I71" i="1"/>
  <c r="K70" i="1"/>
  <c r="J70" i="1"/>
  <c r="I70" i="1"/>
  <c r="K69" i="1"/>
  <c r="J69" i="1"/>
  <c r="I69" i="1"/>
  <c r="K68" i="1"/>
  <c r="J68" i="1"/>
  <c r="I68" i="1"/>
  <c r="K67" i="1"/>
  <c r="J67" i="1"/>
  <c r="I67" i="1"/>
  <c r="K66" i="1"/>
  <c r="J66" i="1"/>
  <c r="I66" i="1"/>
  <c r="K65" i="1"/>
  <c r="J65" i="1"/>
  <c r="I65" i="1"/>
  <c r="K64" i="1"/>
  <c r="J64" i="1"/>
  <c r="I64" i="1"/>
  <c r="K63" i="1"/>
  <c r="J63" i="1"/>
  <c r="I63" i="1"/>
  <c r="K62" i="1"/>
  <c r="J62" i="1"/>
  <c r="I62" i="1"/>
  <c r="K61" i="1"/>
  <c r="J61" i="1"/>
  <c r="I61" i="1"/>
  <c r="K60" i="1"/>
  <c r="J60" i="1"/>
  <c r="I60" i="1"/>
  <c r="K59" i="1"/>
  <c r="J59" i="1"/>
  <c r="I59" i="1"/>
  <c r="K58" i="1"/>
  <c r="J58" i="1"/>
  <c r="I58" i="1"/>
  <c r="K57" i="1"/>
  <c r="J57" i="1"/>
  <c r="I57" i="1"/>
  <c r="K56" i="1"/>
  <c r="J56" i="1"/>
  <c r="I56" i="1"/>
  <c r="K55" i="1"/>
  <c r="J55" i="1"/>
  <c r="I55" i="1"/>
  <c r="K54" i="1"/>
  <c r="J54" i="1"/>
  <c r="I54" i="1"/>
  <c r="K53" i="1"/>
  <c r="J53" i="1"/>
  <c r="I53" i="1"/>
  <c r="K52" i="1"/>
  <c r="J52" i="1"/>
  <c r="I52" i="1"/>
  <c r="K51" i="1"/>
  <c r="J51" i="1"/>
  <c r="I51" i="1"/>
  <c r="K50" i="1"/>
  <c r="J50" i="1"/>
  <c r="I50" i="1"/>
  <c r="K49" i="1"/>
  <c r="J49" i="1"/>
  <c r="I49" i="1"/>
  <c r="K48" i="1"/>
  <c r="J48" i="1"/>
  <c r="I48" i="1"/>
  <c r="K47" i="1"/>
  <c r="J47" i="1"/>
  <c r="I47" i="1"/>
  <c r="K46" i="1"/>
  <c r="J46" i="1"/>
  <c r="I46" i="1"/>
  <c r="K45" i="1"/>
  <c r="J45" i="1"/>
  <c r="I45" i="1"/>
  <c r="K44" i="1"/>
  <c r="J44" i="1"/>
  <c r="I44" i="1"/>
  <c r="K43" i="1"/>
  <c r="J43" i="1"/>
  <c r="I43" i="1"/>
  <c r="K42" i="1"/>
  <c r="J42" i="1"/>
  <c r="I42" i="1"/>
  <c r="K41" i="1"/>
  <c r="J41" i="1"/>
  <c r="I41" i="1"/>
  <c r="K40" i="1"/>
  <c r="J40" i="1"/>
  <c r="I40" i="1"/>
  <c r="K39" i="1"/>
  <c r="J39" i="1"/>
  <c r="I39" i="1"/>
  <c r="K38" i="1"/>
  <c r="J38" i="1"/>
  <c r="I38" i="1"/>
  <c r="K37" i="1"/>
  <c r="J37" i="1"/>
  <c r="I37" i="1"/>
  <c r="K36" i="1"/>
  <c r="J36" i="1"/>
  <c r="I36" i="1"/>
  <c r="K35" i="1"/>
  <c r="J35" i="1"/>
  <c r="I35" i="1"/>
  <c r="K34" i="1"/>
  <c r="J34" i="1"/>
  <c r="I34" i="1"/>
  <c r="K33" i="1"/>
  <c r="J33" i="1"/>
  <c r="I33" i="1"/>
  <c r="K32" i="1"/>
  <c r="J32" i="1"/>
  <c r="I32" i="1"/>
  <c r="K31" i="1"/>
  <c r="J31" i="1"/>
  <c r="I31" i="1"/>
  <c r="K30" i="1"/>
  <c r="J30" i="1"/>
  <c r="I30" i="1"/>
  <c r="K29" i="1"/>
  <c r="J29" i="1"/>
  <c r="I29" i="1"/>
  <c r="K28" i="1"/>
  <c r="J28" i="1"/>
  <c r="I28" i="1"/>
  <c r="K27" i="1"/>
  <c r="J27" i="1"/>
  <c r="I27" i="1"/>
  <c r="K26" i="1"/>
  <c r="J26" i="1"/>
  <c r="I26" i="1"/>
  <c r="K25" i="1"/>
  <c r="J25" i="1"/>
  <c r="I25" i="1"/>
  <c r="K24" i="1"/>
  <c r="J24" i="1"/>
  <c r="I24" i="1"/>
  <c r="K23" i="1"/>
  <c r="J23" i="1"/>
  <c r="I23" i="1"/>
  <c r="K22" i="1"/>
  <c r="J22" i="1"/>
  <c r="I22" i="1"/>
  <c r="K21" i="1"/>
  <c r="J21" i="1"/>
  <c r="I21" i="1"/>
  <c r="K20" i="1"/>
  <c r="J20" i="1"/>
  <c r="I20" i="1"/>
  <c r="K19" i="1"/>
  <c r="J19" i="1"/>
  <c r="I19" i="1"/>
  <c r="K18" i="1"/>
  <c r="J18" i="1"/>
  <c r="I18" i="1"/>
  <c r="K17" i="1"/>
  <c r="J17" i="1"/>
  <c r="I17" i="1"/>
  <c r="K16" i="1"/>
  <c r="J16" i="1"/>
  <c r="I16" i="1"/>
  <c r="K15" i="1"/>
  <c r="J15" i="1"/>
  <c r="I15" i="1"/>
  <c r="K14" i="1"/>
  <c r="J14" i="1"/>
  <c r="I14" i="1"/>
  <c r="K13" i="1"/>
  <c r="J13" i="1"/>
  <c r="I13" i="1"/>
  <c r="K12" i="1"/>
  <c r="J12" i="1"/>
  <c r="I12" i="1"/>
  <c r="K11" i="1"/>
  <c r="J11" i="1"/>
  <c r="I11" i="1"/>
  <c r="K10" i="1"/>
  <c r="J10" i="1"/>
  <c r="I10" i="1"/>
  <c r="K9" i="1"/>
  <c r="J9" i="1"/>
  <c r="I9" i="1"/>
  <c r="K8" i="1"/>
  <c r="J8" i="1"/>
  <c r="I8" i="1"/>
  <c r="K7" i="1"/>
  <c r="J7" i="1"/>
  <c r="I7" i="1"/>
  <c r="K6" i="1"/>
  <c r="J6" i="1"/>
  <c r="I6" i="1"/>
  <c r="K5" i="1"/>
  <c r="J5" i="1"/>
  <c r="I5" i="1"/>
  <c r="K4" i="1"/>
  <c r="J4" i="1"/>
  <c r="I4" i="1"/>
  <c r="K3" i="1"/>
  <c r="J3" i="1"/>
  <c r="I3" i="1"/>
  <c r="K2" i="1"/>
  <c r="J2" i="1"/>
  <c r="I2" i="1"/>
</calcChain>
</file>

<file path=xl/sharedStrings.xml><?xml version="1.0" encoding="utf-8"?>
<sst xmlns="http://schemas.openxmlformats.org/spreadsheetml/2006/main" count="213" uniqueCount="16">
  <si>
    <t>work_performance_metric1</t>
  </si>
  <si>
    <t>sleep_related_metric</t>
  </si>
  <si>
    <t>activity_metric</t>
  </si>
  <si>
    <t>screen_related_metric</t>
  </si>
  <si>
    <t>time_metric</t>
  </si>
  <si>
    <t>Level_Group</t>
  </si>
  <si>
    <t>Category_Type</t>
  </si>
  <si>
    <t>work_performance_label</t>
  </si>
  <si>
    <t>good_sleeper_category</t>
  </si>
  <si>
    <t>high_efficency flag</t>
  </si>
  <si>
    <t>has_activity</t>
  </si>
  <si>
    <t>High</t>
  </si>
  <si>
    <t>TypeA</t>
  </si>
  <si>
    <t>Low</t>
  </si>
  <si>
    <t>Medium</t>
  </si>
  <si>
    <t>TypeB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</si>
</sst>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AE27F-53D1-4542-822A-692D534F8409}">
  <dimension ref="A1:K102"/>
  <sheetViews>
    <sheetView tabSelected="1" topLeftCell="A52" workbookViewId="0">
      <selection activeCell="A76" sqref="A76:XFD102"/>
    </sheetView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</row>
    <row r="2" spans="1:11" x14ac:dyDescent="0.35">
      <c r="A2">
        <v>65.14</v>
      </c>
      <c r="B2">
        <v>3.98</v>
      </c>
      <c r="C2">
        <v>0</v>
      </c>
      <c r="D2">
        <v>3.26</v>
      </c>
      <c r="E2">
        <v>26.47</v>
      </c>
      <c r="F2" t="s">
        <v>11</v>
      </c>
      <c r="G2" t="s">
        <v>12</v>
      </c>
      <c r="H2">
        <v>0</v>
      </c>
      <c r="I2" t="str">
        <f t="shared" ref="I2:I65" si="0">IF(B2&gt;=6, "Good Sleeper", "Poor Sleeper")</f>
        <v>Poor Sleeper</v>
      </c>
      <c r="J2">
        <f t="shared" ref="J2:J65" si="1">IF(AND(A2&gt;50,E2&lt;30),1,0)</f>
        <v>1</v>
      </c>
      <c r="K2">
        <f t="shared" ref="K2:K65" si="2">IF(C2&gt;0,1,0)</f>
        <v>0</v>
      </c>
    </row>
    <row r="3" spans="1:11" x14ac:dyDescent="0.35">
      <c r="A3">
        <v>34.520000000000003</v>
      </c>
      <c r="B3">
        <v>2.8</v>
      </c>
      <c r="C3">
        <v>0</v>
      </c>
      <c r="D3">
        <v>8.9700000000000006</v>
      </c>
      <c r="E3">
        <v>45.25</v>
      </c>
      <c r="F3" t="s">
        <v>13</v>
      </c>
      <c r="G3" t="s">
        <v>12</v>
      </c>
      <c r="H3">
        <v>0</v>
      </c>
      <c r="I3" t="str">
        <f t="shared" si="0"/>
        <v>Poor Sleeper</v>
      </c>
      <c r="J3">
        <f t="shared" si="1"/>
        <v>0</v>
      </c>
      <c r="K3">
        <f t="shared" si="2"/>
        <v>0</v>
      </c>
    </row>
    <row r="4" spans="1:11" x14ac:dyDescent="0.35">
      <c r="A4">
        <v>9.86</v>
      </c>
      <c r="B4">
        <v>6.45</v>
      </c>
      <c r="C4">
        <v>0</v>
      </c>
      <c r="D4">
        <v>4</v>
      </c>
      <c r="E4">
        <v>38.28</v>
      </c>
      <c r="F4" t="s">
        <v>14</v>
      </c>
      <c r="G4" t="s">
        <v>12</v>
      </c>
      <c r="H4">
        <v>0</v>
      </c>
      <c r="I4" t="str">
        <f t="shared" si="0"/>
        <v>Good Sleeper</v>
      </c>
      <c r="J4">
        <f t="shared" si="1"/>
        <v>0</v>
      </c>
      <c r="K4">
        <f t="shared" si="2"/>
        <v>0</v>
      </c>
    </row>
    <row r="5" spans="1:11" x14ac:dyDescent="0.35">
      <c r="A5">
        <v>77.47</v>
      </c>
      <c r="B5">
        <v>6.97</v>
      </c>
      <c r="C5">
        <v>0</v>
      </c>
      <c r="D5">
        <v>7</v>
      </c>
      <c r="E5">
        <v>40.82</v>
      </c>
      <c r="F5" t="s">
        <v>14</v>
      </c>
      <c r="G5" t="s">
        <v>12</v>
      </c>
      <c r="H5">
        <v>0</v>
      </c>
      <c r="I5" t="str">
        <f t="shared" si="0"/>
        <v>Good Sleeper</v>
      </c>
      <c r="J5">
        <f t="shared" si="1"/>
        <v>0</v>
      </c>
      <c r="K5">
        <f t="shared" si="2"/>
        <v>0</v>
      </c>
    </row>
    <row r="6" spans="1:11" x14ac:dyDescent="0.35">
      <c r="A6">
        <v>94.47</v>
      </c>
      <c r="B6">
        <v>2.84</v>
      </c>
      <c r="C6">
        <v>0</v>
      </c>
      <c r="D6">
        <v>9.01</v>
      </c>
      <c r="E6">
        <v>7.35</v>
      </c>
      <c r="F6" t="s">
        <v>14</v>
      </c>
      <c r="G6" t="s">
        <v>12</v>
      </c>
      <c r="H6">
        <v>0</v>
      </c>
      <c r="I6" t="str">
        <f t="shared" si="0"/>
        <v>Poor Sleeper</v>
      </c>
      <c r="J6">
        <f t="shared" si="1"/>
        <v>1</v>
      </c>
      <c r="K6">
        <f t="shared" si="2"/>
        <v>0</v>
      </c>
    </row>
    <row r="7" spans="1:11" x14ac:dyDescent="0.35">
      <c r="A7">
        <v>65.64</v>
      </c>
      <c r="B7">
        <v>5.28</v>
      </c>
      <c r="C7">
        <v>0.77</v>
      </c>
      <c r="D7">
        <v>6.16</v>
      </c>
      <c r="E7">
        <v>57.82</v>
      </c>
      <c r="F7" t="s">
        <v>11</v>
      </c>
      <c r="G7" t="s">
        <v>12</v>
      </c>
      <c r="H7">
        <v>0</v>
      </c>
      <c r="I7" t="str">
        <f t="shared" si="0"/>
        <v>Poor Sleeper</v>
      </c>
      <c r="J7">
        <f t="shared" si="1"/>
        <v>0</v>
      </c>
      <c r="K7">
        <f t="shared" si="2"/>
        <v>1</v>
      </c>
    </row>
    <row r="8" spans="1:11" x14ac:dyDescent="0.35">
      <c r="A8">
        <v>67.42</v>
      </c>
      <c r="B8">
        <v>7.14</v>
      </c>
      <c r="C8">
        <v>0.81</v>
      </c>
      <c r="D8">
        <v>6.85</v>
      </c>
      <c r="E8">
        <v>23.09</v>
      </c>
      <c r="F8" t="s">
        <v>14</v>
      </c>
      <c r="G8" t="s">
        <v>12</v>
      </c>
      <c r="H8">
        <v>0</v>
      </c>
      <c r="I8" t="str">
        <f t="shared" si="0"/>
        <v>Good Sleeper</v>
      </c>
      <c r="J8">
        <f t="shared" si="1"/>
        <v>1</v>
      </c>
      <c r="K8">
        <f t="shared" si="2"/>
        <v>1</v>
      </c>
    </row>
    <row r="9" spans="1:11" x14ac:dyDescent="0.35">
      <c r="A9">
        <v>68.290000000000006</v>
      </c>
      <c r="B9">
        <v>10.51</v>
      </c>
      <c r="C9">
        <v>0.84</v>
      </c>
      <c r="D9">
        <v>10.52</v>
      </c>
      <c r="E9">
        <v>21.57</v>
      </c>
      <c r="F9" t="s">
        <v>11</v>
      </c>
      <c r="G9" t="s">
        <v>12</v>
      </c>
      <c r="H9">
        <v>0</v>
      </c>
      <c r="I9" t="str">
        <f t="shared" si="0"/>
        <v>Good Sleeper</v>
      </c>
      <c r="J9">
        <f t="shared" si="1"/>
        <v>1</v>
      </c>
      <c r="K9">
        <f t="shared" si="2"/>
        <v>1</v>
      </c>
    </row>
    <row r="10" spans="1:11" x14ac:dyDescent="0.35">
      <c r="A10">
        <v>31.68</v>
      </c>
      <c r="B10">
        <v>4.7300000000000004</v>
      </c>
      <c r="C10">
        <v>1.37</v>
      </c>
      <c r="D10">
        <v>4.46</v>
      </c>
      <c r="E10">
        <v>36.06</v>
      </c>
      <c r="F10" t="s">
        <v>13</v>
      </c>
      <c r="G10" t="s">
        <v>12</v>
      </c>
      <c r="H10">
        <v>0</v>
      </c>
      <c r="I10" t="str">
        <f t="shared" si="0"/>
        <v>Poor Sleeper</v>
      </c>
      <c r="J10">
        <f t="shared" si="1"/>
        <v>0</v>
      </c>
      <c r="K10">
        <f t="shared" si="2"/>
        <v>1</v>
      </c>
    </row>
    <row r="11" spans="1:11" x14ac:dyDescent="0.35">
      <c r="A11">
        <v>56.08</v>
      </c>
      <c r="B11">
        <v>6.03</v>
      </c>
      <c r="C11">
        <v>1.37</v>
      </c>
      <c r="D11">
        <v>6.87</v>
      </c>
      <c r="E11">
        <v>45.19</v>
      </c>
      <c r="F11" t="s">
        <v>14</v>
      </c>
      <c r="G11" t="s">
        <v>12</v>
      </c>
      <c r="H11">
        <v>0</v>
      </c>
      <c r="I11" t="str">
        <f t="shared" si="0"/>
        <v>Good Sleeper</v>
      </c>
      <c r="J11">
        <f t="shared" si="1"/>
        <v>0</v>
      </c>
      <c r="K11">
        <f t="shared" si="2"/>
        <v>1</v>
      </c>
    </row>
    <row r="12" spans="1:11" x14ac:dyDescent="0.35">
      <c r="A12">
        <v>19.11</v>
      </c>
      <c r="B12">
        <v>2.39</v>
      </c>
      <c r="C12">
        <v>1.49</v>
      </c>
      <c r="D12">
        <v>5.94</v>
      </c>
      <c r="E12">
        <v>18.559999999999999</v>
      </c>
      <c r="F12" t="s">
        <v>14</v>
      </c>
      <c r="G12" t="s">
        <v>12</v>
      </c>
      <c r="H12">
        <v>0</v>
      </c>
      <c r="I12" t="str">
        <f t="shared" si="0"/>
        <v>Poor Sleeper</v>
      </c>
      <c r="J12">
        <f t="shared" si="1"/>
        <v>0</v>
      </c>
      <c r="K12">
        <f t="shared" si="2"/>
        <v>1</v>
      </c>
    </row>
    <row r="13" spans="1:11" x14ac:dyDescent="0.35">
      <c r="A13">
        <v>22.09</v>
      </c>
      <c r="B13">
        <v>8.2200000000000006</v>
      </c>
      <c r="C13">
        <v>1.65</v>
      </c>
      <c r="D13">
        <v>8.76</v>
      </c>
      <c r="E13">
        <v>23.13</v>
      </c>
      <c r="F13" t="s">
        <v>11</v>
      </c>
      <c r="G13" t="s">
        <v>12</v>
      </c>
      <c r="H13">
        <v>0</v>
      </c>
      <c r="I13" t="str">
        <f t="shared" si="0"/>
        <v>Good Sleeper</v>
      </c>
      <c r="J13">
        <f t="shared" si="1"/>
        <v>0</v>
      </c>
      <c r="K13">
        <f t="shared" si="2"/>
        <v>1</v>
      </c>
    </row>
    <row r="14" spans="1:11" x14ac:dyDescent="0.35">
      <c r="A14">
        <v>62.39</v>
      </c>
      <c r="B14">
        <v>6.36</v>
      </c>
      <c r="C14">
        <v>1.65</v>
      </c>
      <c r="D14">
        <v>7.52</v>
      </c>
      <c r="E14">
        <v>13.41</v>
      </c>
      <c r="F14" t="s">
        <v>14</v>
      </c>
      <c r="G14" t="s">
        <v>12</v>
      </c>
      <c r="H14">
        <v>0</v>
      </c>
      <c r="I14" t="str">
        <f t="shared" si="0"/>
        <v>Good Sleeper</v>
      </c>
      <c r="J14">
        <f t="shared" si="1"/>
        <v>1</v>
      </c>
      <c r="K14">
        <f t="shared" si="2"/>
        <v>1</v>
      </c>
    </row>
    <row r="15" spans="1:11" x14ac:dyDescent="0.35">
      <c r="A15">
        <v>52.13</v>
      </c>
      <c r="B15">
        <v>2.94</v>
      </c>
      <c r="C15">
        <v>1.71</v>
      </c>
      <c r="D15">
        <v>5.66</v>
      </c>
      <c r="E15">
        <v>31.1</v>
      </c>
      <c r="F15" t="s">
        <v>14</v>
      </c>
      <c r="G15" t="s">
        <v>12</v>
      </c>
      <c r="H15">
        <v>0</v>
      </c>
      <c r="I15" t="str">
        <f t="shared" si="0"/>
        <v>Poor Sleeper</v>
      </c>
      <c r="J15">
        <f t="shared" si="1"/>
        <v>0</v>
      </c>
      <c r="K15">
        <f t="shared" si="2"/>
        <v>1</v>
      </c>
    </row>
    <row r="16" spans="1:11" x14ac:dyDescent="0.35">
      <c r="A16">
        <v>57.28</v>
      </c>
      <c r="B16">
        <v>5.93</v>
      </c>
      <c r="C16">
        <v>2.2000000000000002</v>
      </c>
      <c r="D16">
        <v>8.16</v>
      </c>
      <c r="E16">
        <v>29.72</v>
      </c>
      <c r="F16" t="s">
        <v>13</v>
      </c>
      <c r="G16" t="s">
        <v>12</v>
      </c>
      <c r="H16">
        <v>0</v>
      </c>
      <c r="I16" t="str">
        <f t="shared" si="0"/>
        <v>Poor Sleeper</v>
      </c>
      <c r="J16">
        <f t="shared" si="1"/>
        <v>1</v>
      </c>
      <c r="K16">
        <f t="shared" si="2"/>
        <v>1</v>
      </c>
    </row>
    <row r="17" spans="1:11" x14ac:dyDescent="0.35">
      <c r="A17">
        <v>50.94</v>
      </c>
      <c r="B17">
        <v>10.3</v>
      </c>
      <c r="C17">
        <v>2.21</v>
      </c>
      <c r="D17">
        <v>5.22</v>
      </c>
      <c r="E17">
        <v>13.84</v>
      </c>
      <c r="F17" t="s">
        <v>11</v>
      </c>
      <c r="G17" t="s">
        <v>12</v>
      </c>
      <c r="H17">
        <v>0</v>
      </c>
      <c r="I17" t="str">
        <f t="shared" si="0"/>
        <v>Good Sleeper</v>
      </c>
      <c r="J17">
        <f t="shared" si="1"/>
        <v>1</v>
      </c>
      <c r="K17">
        <f t="shared" si="2"/>
        <v>1</v>
      </c>
    </row>
    <row r="18" spans="1:11" x14ac:dyDescent="0.35">
      <c r="A18">
        <v>44.56</v>
      </c>
      <c r="B18">
        <v>5.13</v>
      </c>
      <c r="C18">
        <v>2.2400000000000002</v>
      </c>
      <c r="D18">
        <v>9.08</v>
      </c>
      <c r="E18">
        <v>40.24</v>
      </c>
      <c r="F18" t="s">
        <v>14</v>
      </c>
      <c r="G18" t="s">
        <v>12</v>
      </c>
      <c r="H18">
        <v>0</v>
      </c>
      <c r="I18" t="str">
        <f t="shared" si="0"/>
        <v>Poor Sleeper</v>
      </c>
      <c r="J18">
        <f t="shared" si="1"/>
        <v>0</v>
      </c>
      <c r="K18">
        <f t="shared" si="2"/>
        <v>1</v>
      </c>
    </row>
    <row r="19" spans="1:11" x14ac:dyDescent="0.35">
      <c r="A19">
        <v>72.400000000000006</v>
      </c>
      <c r="B19">
        <v>8.51</v>
      </c>
      <c r="C19">
        <v>2.31</v>
      </c>
      <c r="D19">
        <v>6.12</v>
      </c>
      <c r="E19">
        <v>52.28</v>
      </c>
      <c r="F19" t="s">
        <v>13</v>
      </c>
      <c r="G19" t="s">
        <v>12</v>
      </c>
      <c r="H19">
        <v>0</v>
      </c>
      <c r="I19" t="str">
        <f t="shared" si="0"/>
        <v>Good Sleeper</v>
      </c>
      <c r="J19">
        <f t="shared" si="1"/>
        <v>0</v>
      </c>
      <c r="K19">
        <f t="shared" si="2"/>
        <v>1</v>
      </c>
    </row>
    <row r="20" spans="1:11" x14ac:dyDescent="0.35">
      <c r="A20">
        <v>29.64</v>
      </c>
      <c r="B20">
        <v>6.93</v>
      </c>
      <c r="C20">
        <v>2.5499999999999998</v>
      </c>
      <c r="D20">
        <v>6.85</v>
      </c>
      <c r="E20">
        <v>25.74</v>
      </c>
      <c r="F20" t="s">
        <v>14</v>
      </c>
      <c r="G20" t="s">
        <v>12</v>
      </c>
      <c r="H20">
        <v>0</v>
      </c>
      <c r="I20" t="str">
        <f t="shared" si="0"/>
        <v>Good Sleeper</v>
      </c>
      <c r="J20">
        <f t="shared" si="1"/>
        <v>0</v>
      </c>
      <c r="K20">
        <f t="shared" si="2"/>
        <v>1</v>
      </c>
    </row>
    <row r="21" spans="1:11" x14ac:dyDescent="0.35">
      <c r="A21">
        <v>51.48</v>
      </c>
      <c r="B21">
        <v>5.59</v>
      </c>
      <c r="C21">
        <v>2.57</v>
      </c>
      <c r="D21">
        <v>8.99</v>
      </c>
      <c r="E21">
        <v>43.37</v>
      </c>
      <c r="F21" t="s">
        <v>11</v>
      </c>
      <c r="G21" t="s">
        <v>12</v>
      </c>
      <c r="H21">
        <v>0</v>
      </c>
      <c r="I21" t="str">
        <f t="shared" si="0"/>
        <v>Poor Sleeper</v>
      </c>
      <c r="J21">
        <f t="shared" si="1"/>
        <v>0</v>
      </c>
      <c r="K21">
        <f t="shared" si="2"/>
        <v>1</v>
      </c>
    </row>
    <row r="22" spans="1:11" x14ac:dyDescent="0.35">
      <c r="A22">
        <v>47.95</v>
      </c>
      <c r="B22">
        <v>6.55</v>
      </c>
      <c r="C22">
        <v>2.75</v>
      </c>
      <c r="D22">
        <v>1</v>
      </c>
      <c r="E22">
        <v>47.22</v>
      </c>
      <c r="F22" t="s">
        <v>14</v>
      </c>
      <c r="G22" t="s">
        <v>12</v>
      </c>
      <c r="H22">
        <v>0</v>
      </c>
      <c r="I22" t="str">
        <f t="shared" si="0"/>
        <v>Good Sleeper</v>
      </c>
      <c r="J22">
        <f t="shared" si="1"/>
        <v>0</v>
      </c>
      <c r="K22">
        <f t="shared" si="2"/>
        <v>1</v>
      </c>
    </row>
    <row r="23" spans="1:11" x14ac:dyDescent="0.35">
      <c r="A23">
        <v>26.37</v>
      </c>
      <c r="B23">
        <v>4.26</v>
      </c>
      <c r="C23">
        <v>2.82</v>
      </c>
      <c r="D23">
        <v>8.93</v>
      </c>
      <c r="E23">
        <v>40.119999999999997</v>
      </c>
      <c r="F23" t="s">
        <v>11</v>
      </c>
      <c r="G23" t="s">
        <v>12</v>
      </c>
      <c r="H23">
        <v>0</v>
      </c>
      <c r="I23" t="str">
        <f t="shared" si="0"/>
        <v>Poor Sleeper</v>
      </c>
      <c r="J23">
        <f t="shared" si="1"/>
        <v>0</v>
      </c>
      <c r="K23">
        <f t="shared" si="2"/>
        <v>1</v>
      </c>
    </row>
    <row r="24" spans="1:11" x14ac:dyDescent="0.35">
      <c r="A24">
        <v>39.520000000000003</v>
      </c>
      <c r="B24">
        <v>3.64</v>
      </c>
      <c r="C24">
        <v>2.96</v>
      </c>
      <c r="D24">
        <v>5.3</v>
      </c>
      <c r="E24">
        <v>22.91</v>
      </c>
      <c r="F24" t="s">
        <v>14</v>
      </c>
      <c r="G24" t="s">
        <v>12</v>
      </c>
      <c r="H24">
        <v>0</v>
      </c>
      <c r="I24" t="str">
        <f t="shared" si="0"/>
        <v>Poor Sleeper</v>
      </c>
      <c r="J24">
        <f t="shared" si="1"/>
        <v>0</v>
      </c>
      <c r="K24">
        <f t="shared" si="2"/>
        <v>1</v>
      </c>
    </row>
    <row r="25" spans="1:11" x14ac:dyDescent="0.35">
      <c r="A25">
        <v>52.72</v>
      </c>
      <c r="B25">
        <v>3.59</v>
      </c>
      <c r="C25">
        <v>3.17</v>
      </c>
      <c r="D25">
        <v>7.37</v>
      </c>
      <c r="E25">
        <v>49.28</v>
      </c>
      <c r="F25" t="s">
        <v>14</v>
      </c>
      <c r="G25" t="s">
        <v>12</v>
      </c>
      <c r="H25">
        <v>0</v>
      </c>
      <c r="I25" t="str">
        <f t="shared" si="0"/>
        <v>Poor Sleeper</v>
      </c>
      <c r="J25">
        <f t="shared" si="1"/>
        <v>0</v>
      </c>
      <c r="K25">
        <f t="shared" si="2"/>
        <v>1</v>
      </c>
    </row>
    <row r="26" spans="1:11" x14ac:dyDescent="0.35">
      <c r="A26">
        <v>72.31</v>
      </c>
      <c r="B26">
        <v>6.35</v>
      </c>
      <c r="C26">
        <v>3.18</v>
      </c>
      <c r="D26">
        <v>7.15</v>
      </c>
      <c r="E26">
        <v>18.829999999999998</v>
      </c>
      <c r="F26" t="s">
        <v>11</v>
      </c>
      <c r="G26" t="s">
        <v>12</v>
      </c>
      <c r="H26">
        <v>0</v>
      </c>
      <c r="I26" t="str">
        <f t="shared" si="0"/>
        <v>Good Sleeper</v>
      </c>
      <c r="J26">
        <f t="shared" si="1"/>
        <v>1</v>
      </c>
      <c r="K26">
        <f t="shared" si="2"/>
        <v>1</v>
      </c>
    </row>
    <row r="27" spans="1:11" x14ac:dyDescent="0.35">
      <c r="A27">
        <v>40.299999999999997</v>
      </c>
      <c r="B27">
        <v>7.1</v>
      </c>
      <c r="C27">
        <v>3.31</v>
      </c>
      <c r="D27">
        <v>10.51</v>
      </c>
      <c r="E27">
        <v>50.39</v>
      </c>
      <c r="F27" t="s">
        <v>14</v>
      </c>
      <c r="G27" t="s">
        <v>12</v>
      </c>
      <c r="H27">
        <v>0</v>
      </c>
      <c r="I27" t="str">
        <f t="shared" si="0"/>
        <v>Good Sleeper</v>
      </c>
      <c r="J27">
        <f t="shared" si="1"/>
        <v>0</v>
      </c>
      <c r="K27">
        <f t="shared" si="2"/>
        <v>1</v>
      </c>
    </row>
    <row r="28" spans="1:11" x14ac:dyDescent="0.35">
      <c r="A28">
        <v>43.27</v>
      </c>
      <c r="B28">
        <v>4.28</v>
      </c>
      <c r="C28">
        <v>3.58</v>
      </c>
      <c r="D28">
        <v>7.26</v>
      </c>
      <c r="E28">
        <v>47.28</v>
      </c>
      <c r="F28" t="s">
        <v>13</v>
      </c>
      <c r="G28" t="s">
        <v>12</v>
      </c>
      <c r="H28">
        <v>0</v>
      </c>
      <c r="I28" t="str">
        <f t="shared" si="0"/>
        <v>Poor Sleeper</v>
      </c>
      <c r="J28">
        <f t="shared" si="1"/>
        <v>0</v>
      </c>
      <c r="K28">
        <f t="shared" si="2"/>
        <v>1</v>
      </c>
    </row>
    <row r="29" spans="1:11" x14ac:dyDescent="0.35">
      <c r="A29">
        <v>36.17</v>
      </c>
      <c r="B29">
        <v>8.26</v>
      </c>
      <c r="C29">
        <v>3.85</v>
      </c>
      <c r="D29">
        <v>11.84</v>
      </c>
      <c r="E29">
        <v>44.88</v>
      </c>
      <c r="F29" t="s">
        <v>14</v>
      </c>
      <c r="G29" t="s">
        <v>12</v>
      </c>
      <c r="H29">
        <v>0</v>
      </c>
      <c r="I29" t="str">
        <f t="shared" si="0"/>
        <v>Good Sleeper</v>
      </c>
      <c r="J29">
        <f t="shared" si="1"/>
        <v>0</v>
      </c>
      <c r="K29">
        <f t="shared" si="2"/>
        <v>1</v>
      </c>
    </row>
    <row r="30" spans="1:11" x14ac:dyDescent="0.35">
      <c r="A30">
        <v>11.46</v>
      </c>
      <c r="B30">
        <v>3.12</v>
      </c>
      <c r="C30">
        <v>4.1399999999999997</v>
      </c>
      <c r="D30">
        <v>9.4600000000000009</v>
      </c>
      <c r="E30">
        <v>16.04</v>
      </c>
      <c r="F30" t="s">
        <v>14</v>
      </c>
      <c r="G30" t="s">
        <v>12</v>
      </c>
      <c r="H30">
        <v>0</v>
      </c>
      <c r="I30" t="str">
        <f t="shared" si="0"/>
        <v>Poor Sleeper</v>
      </c>
      <c r="J30">
        <f t="shared" si="1"/>
        <v>0</v>
      </c>
      <c r="K30">
        <f t="shared" si="2"/>
        <v>1</v>
      </c>
    </row>
    <row r="31" spans="1:11" x14ac:dyDescent="0.35">
      <c r="A31">
        <v>58.06</v>
      </c>
      <c r="B31">
        <v>5.23</v>
      </c>
      <c r="C31">
        <v>4.16</v>
      </c>
      <c r="D31">
        <v>2.95</v>
      </c>
      <c r="E31">
        <v>32.51</v>
      </c>
      <c r="F31" t="s">
        <v>11</v>
      </c>
      <c r="G31" t="s">
        <v>12</v>
      </c>
      <c r="H31">
        <v>0</v>
      </c>
      <c r="I31" t="str">
        <f t="shared" si="0"/>
        <v>Poor Sleeper</v>
      </c>
      <c r="J31">
        <f t="shared" si="1"/>
        <v>0</v>
      </c>
      <c r="K31">
        <f t="shared" si="2"/>
        <v>1</v>
      </c>
    </row>
    <row r="32" spans="1:11" x14ac:dyDescent="0.35">
      <c r="A32">
        <v>16.73</v>
      </c>
      <c r="B32">
        <v>7.5</v>
      </c>
      <c r="C32">
        <v>4.17</v>
      </c>
      <c r="D32">
        <v>7.76</v>
      </c>
      <c r="E32">
        <v>37.450000000000003</v>
      </c>
      <c r="F32" t="s">
        <v>11</v>
      </c>
      <c r="G32" t="s">
        <v>12</v>
      </c>
      <c r="H32">
        <v>0</v>
      </c>
      <c r="I32" t="str">
        <f t="shared" si="0"/>
        <v>Good Sleeper</v>
      </c>
      <c r="J32">
        <f t="shared" si="1"/>
        <v>0</v>
      </c>
      <c r="K32">
        <f t="shared" si="2"/>
        <v>1</v>
      </c>
    </row>
    <row r="33" spans="1:11" x14ac:dyDescent="0.35">
      <c r="A33">
        <v>18.64</v>
      </c>
      <c r="B33">
        <v>10.74</v>
      </c>
      <c r="C33">
        <v>4.1900000000000004</v>
      </c>
      <c r="D33">
        <v>6.04</v>
      </c>
      <c r="E33">
        <v>25.93</v>
      </c>
      <c r="F33" t="s">
        <v>13</v>
      </c>
      <c r="G33" t="s">
        <v>12</v>
      </c>
      <c r="H33">
        <v>0</v>
      </c>
      <c r="I33" t="str">
        <f t="shared" si="0"/>
        <v>Good Sleeper</v>
      </c>
      <c r="J33">
        <f t="shared" si="1"/>
        <v>0</v>
      </c>
      <c r="K33">
        <f t="shared" si="2"/>
        <v>1</v>
      </c>
    </row>
    <row r="34" spans="1:11" x14ac:dyDescent="0.35">
      <c r="A34">
        <v>47.72</v>
      </c>
      <c r="B34">
        <v>7.48</v>
      </c>
      <c r="C34">
        <v>4.1900000000000004</v>
      </c>
      <c r="D34">
        <v>4.83</v>
      </c>
      <c r="E34">
        <v>65.13</v>
      </c>
      <c r="F34" t="s">
        <v>13</v>
      </c>
      <c r="G34" t="s">
        <v>12</v>
      </c>
      <c r="H34">
        <v>0</v>
      </c>
      <c r="I34" t="str">
        <f t="shared" si="0"/>
        <v>Good Sleeper</v>
      </c>
      <c r="J34">
        <f t="shared" si="1"/>
        <v>0</v>
      </c>
      <c r="K34">
        <f t="shared" si="2"/>
        <v>1</v>
      </c>
    </row>
    <row r="35" spans="1:11" x14ac:dyDescent="0.35">
      <c r="A35">
        <v>56.89</v>
      </c>
      <c r="B35">
        <v>5.86</v>
      </c>
      <c r="C35">
        <v>4.68</v>
      </c>
      <c r="D35">
        <v>6.57</v>
      </c>
      <c r="E35">
        <v>30.18</v>
      </c>
      <c r="F35" t="s">
        <v>11</v>
      </c>
      <c r="G35" t="s">
        <v>12</v>
      </c>
      <c r="H35">
        <v>0</v>
      </c>
      <c r="I35" t="str">
        <f t="shared" si="0"/>
        <v>Poor Sleeper</v>
      </c>
      <c r="J35">
        <f t="shared" si="1"/>
        <v>0</v>
      </c>
      <c r="K35">
        <f t="shared" si="2"/>
        <v>1</v>
      </c>
    </row>
    <row r="36" spans="1:11" x14ac:dyDescent="0.35">
      <c r="A36">
        <v>28.64</v>
      </c>
      <c r="B36">
        <v>7.05</v>
      </c>
      <c r="C36">
        <v>4.7699999999999996</v>
      </c>
      <c r="D36">
        <v>9.5</v>
      </c>
      <c r="E36">
        <v>23.07</v>
      </c>
      <c r="F36" t="s">
        <v>13</v>
      </c>
      <c r="G36" t="s">
        <v>12</v>
      </c>
      <c r="H36">
        <v>0</v>
      </c>
      <c r="I36" t="str">
        <f t="shared" si="0"/>
        <v>Good Sleeper</v>
      </c>
      <c r="J36">
        <f t="shared" si="1"/>
        <v>0</v>
      </c>
      <c r="K36">
        <f t="shared" si="2"/>
        <v>1</v>
      </c>
    </row>
    <row r="37" spans="1:11" x14ac:dyDescent="0.35">
      <c r="A37">
        <v>59.43</v>
      </c>
      <c r="B37">
        <v>6.24</v>
      </c>
      <c r="C37">
        <v>4.8099999999999996</v>
      </c>
      <c r="D37">
        <v>5.13</v>
      </c>
      <c r="E37">
        <v>20.95</v>
      </c>
      <c r="F37" t="s">
        <v>11</v>
      </c>
      <c r="G37" t="s">
        <v>12</v>
      </c>
      <c r="H37">
        <v>0</v>
      </c>
      <c r="I37" t="str">
        <f t="shared" si="0"/>
        <v>Good Sleeper</v>
      </c>
      <c r="J37">
        <f t="shared" si="1"/>
        <v>1</v>
      </c>
      <c r="K37">
        <f t="shared" si="2"/>
        <v>1</v>
      </c>
    </row>
    <row r="38" spans="1:11" x14ac:dyDescent="0.35">
      <c r="A38">
        <v>63.49</v>
      </c>
      <c r="B38">
        <v>7.2</v>
      </c>
      <c r="C38">
        <v>4.92</v>
      </c>
      <c r="D38">
        <v>5.98</v>
      </c>
      <c r="E38">
        <v>28</v>
      </c>
      <c r="F38" t="s">
        <v>14</v>
      </c>
      <c r="G38" t="s">
        <v>12</v>
      </c>
      <c r="H38">
        <v>0</v>
      </c>
      <c r="I38" t="str">
        <f t="shared" si="0"/>
        <v>Good Sleeper</v>
      </c>
      <c r="J38">
        <f t="shared" si="1"/>
        <v>1</v>
      </c>
      <c r="K38">
        <f t="shared" si="2"/>
        <v>1</v>
      </c>
    </row>
    <row r="39" spans="1:11" x14ac:dyDescent="0.35">
      <c r="A39">
        <v>87.33</v>
      </c>
      <c r="B39">
        <v>6.71</v>
      </c>
      <c r="C39">
        <v>4.99</v>
      </c>
      <c r="D39">
        <v>8.58</v>
      </c>
      <c r="E39">
        <v>25.58</v>
      </c>
      <c r="F39" t="s">
        <v>14</v>
      </c>
      <c r="G39" t="s">
        <v>12</v>
      </c>
      <c r="H39">
        <v>0</v>
      </c>
      <c r="I39" t="str">
        <f t="shared" si="0"/>
        <v>Good Sleeper</v>
      </c>
      <c r="J39">
        <f t="shared" si="1"/>
        <v>1</v>
      </c>
      <c r="K39">
        <f t="shared" si="2"/>
        <v>1</v>
      </c>
    </row>
    <row r="40" spans="1:11" x14ac:dyDescent="0.35">
      <c r="A40">
        <v>38.97</v>
      </c>
      <c r="B40">
        <v>11.19</v>
      </c>
      <c r="C40">
        <v>5.03</v>
      </c>
      <c r="D40">
        <v>5.24</v>
      </c>
      <c r="E40">
        <v>53.66</v>
      </c>
      <c r="F40" t="s">
        <v>14</v>
      </c>
      <c r="G40" t="s">
        <v>12</v>
      </c>
      <c r="H40">
        <v>0</v>
      </c>
      <c r="I40" t="str">
        <f t="shared" si="0"/>
        <v>Good Sleeper</v>
      </c>
      <c r="J40">
        <f t="shared" si="1"/>
        <v>0</v>
      </c>
      <c r="K40">
        <f t="shared" si="2"/>
        <v>1</v>
      </c>
    </row>
    <row r="41" spans="1:11" x14ac:dyDescent="0.35">
      <c r="A41">
        <v>49.11</v>
      </c>
      <c r="B41">
        <v>5.3</v>
      </c>
      <c r="C41">
        <v>5.16</v>
      </c>
      <c r="D41">
        <v>9</v>
      </c>
      <c r="E41">
        <v>20.48</v>
      </c>
      <c r="F41" t="s">
        <v>11</v>
      </c>
      <c r="G41" t="s">
        <v>12</v>
      </c>
      <c r="H41">
        <v>0</v>
      </c>
      <c r="I41" t="str">
        <f t="shared" si="0"/>
        <v>Poor Sleeper</v>
      </c>
      <c r="J41">
        <f t="shared" si="1"/>
        <v>0</v>
      </c>
      <c r="K41">
        <f t="shared" si="2"/>
        <v>1</v>
      </c>
    </row>
    <row r="42" spans="1:11" x14ac:dyDescent="0.35">
      <c r="A42">
        <v>80.38</v>
      </c>
      <c r="B42">
        <v>5.14</v>
      </c>
      <c r="C42">
        <v>5.39</v>
      </c>
      <c r="D42">
        <v>6.11</v>
      </c>
      <c r="E42">
        <v>45.57</v>
      </c>
      <c r="F42" t="s">
        <v>11</v>
      </c>
      <c r="G42" t="s">
        <v>12</v>
      </c>
      <c r="H42">
        <v>0</v>
      </c>
      <c r="I42" t="str">
        <f t="shared" si="0"/>
        <v>Poor Sleeper</v>
      </c>
      <c r="J42">
        <f t="shared" si="1"/>
        <v>0</v>
      </c>
      <c r="K42">
        <f t="shared" si="2"/>
        <v>1</v>
      </c>
    </row>
    <row r="43" spans="1:11" x14ac:dyDescent="0.35">
      <c r="A43">
        <v>59.98</v>
      </c>
      <c r="B43">
        <v>3.37</v>
      </c>
      <c r="C43">
        <v>5.71</v>
      </c>
      <c r="D43">
        <v>2.85</v>
      </c>
      <c r="E43">
        <v>28.14</v>
      </c>
      <c r="F43" t="s">
        <v>14</v>
      </c>
      <c r="G43" t="s">
        <v>12</v>
      </c>
      <c r="H43">
        <v>0</v>
      </c>
      <c r="I43" t="str">
        <f t="shared" si="0"/>
        <v>Poor Sleeper</v>
      </c>
      <c r="J43">
        <f t="shared" si="1"/>
        <v>1</v>
      </c>
      <c r="K43">
        <f t="shared" si="2"/>
        <v>1</v>
      </c>
    </row>
    <row r="44" spans="1:11" x14ac:dyDescent="0.35">
      <c r="A44">
        <v>39.729999999999997</v>
      </c>
      <c r="B44">
        <v>8.1199999999999992</v>
      </c>
      <c r="C44">
        <v>5.79</v>
      </c>
      <c r="D44">
        <v>4.9400000000000004</v>
      </c>
      <c r="E44">
        <v>42.86</v>
      </c>
      <c r="F44" t="s">
        <v>14</v>
      </c>
      <c r="G44" t="s">
        <v>12</v>
      </c>
      <c r="H44">
        <v>0</v>
      </c>
      <c r="I44" t="str">
        <f t="shared" si="0"/>
        <v>Good Sleeper</v>
      </c>
      <c r="J44">
        <f t="shared" si="1"/>
        <v>0</v>
      </c>
      <c r="K44">
        <f t="shared" si="2"/>
        <v>1</v>
      </c>
    </row>
    <row r="45" spans="1:11" x14ac:dyDescent="0.35">
      <c r="A45">
        <v>37.049999999999997</v>
      </c>
      <c r="B45">
        <v>2.15</v>
      </c>
      <c r="C45">
        <v>6.47</v>
      </c>
      <c r="D45">
        <v>7.86</v>
      </c>
      <c r="E45">
        <v>46.7</v>
      </c>
      <c r="F45" t="s">
        <v>14</v>
      </c>
      <c r="G45" t="s">
        <v>12</v>
      </c>
      <c r="H45">
        <v>0</v>
      </c>
      <c r="I45" t="str">
        <f t="shared" si="0"/>
        <v>Poor Sleeper</v>
      </c>
      <c r="J45">
        <f t="shared" si="1"/>
        <v>0</v>
      </c>
      <c r="K45">
        <f t="shared" si="2"/>
        <v>1</v>
      </c>
    </row>
    <row r="46" spans="1:11" x14ac:dyDescent="0.35">
      <c r="A46">
        <v>22.19</v>
      </c>
      <c r="B46">
        <v>8.75</v>
      </c>
      <c r="C46">
        <v>6.9</v>
      </c>
      <c r="D46">
        <v>6.46</v>
      </c>
      <c r="E46">
        <v>43.92</v>
      </c>
      <c r="F46" t="s">
        <v>13</v>
      </c>
      <c r="G46" t="s">
        <v>12</v>
      </c>
      <c r="H46">
        <v>0</v>
      </c>
      <c r="I46" t="str">
        <f t="shared" si="0"/>
        <v>Good Sleeper</v>
      </c>
      <c r="J46">
        <f t="shared" si="1"/>
        <v>0</v>
      </c>
      <c r="K46">
        <f t="shared" si="2"/>
        <v>1</v>
      </c>
    </row>
    <row r="47" spans="1:11" x14ac:dyDescent="0.35">
      <c r="A47">
        <v>23.34</v>
      </c>
      <c r="B47">
        <v>6.93</v>
      </c>
      <c r="C47">
        <v>7.61</v>
      </c>
      <c r="D47">
        <v>5.03</v>
      </c>
      <c r="E47">
        <v>20.99</v>
      </c>
      <c r="F47" t="s">
        <v>14</v>
      </c>
      <c r="G47" t="s">
        <v>12</v>
      </c>
      <c r="H47">
        <v>0</v>
      </c>
      <c r="I47" t="str">
        <f t="shared" si="0"/>
        <v>Good Sleeper</v>
      </c>
      <c r="J47">
        <f t="shared" si="1"/>
        <v>0</v>
      </c>
      <c r="K47">
        <f t="shared" si="2"/>
        <v>1</v>
      </c>
    </row>
    <row r="48" spans="1:11" x14ac:dyDescent="0.35">
      <c r="A48">
        <v>13.77</v>
      </c>
      <c r="B48">
        <v>4.37</v>
      </c>
      <c r="C48">
        <v>0</v>
      </c>
      <c r="D48">
        <v>1</v>
      </c>
      <c r="E48">
        <v>24.94</v>
      </c>
      <c r="F48" t="s">
        <v>13</v>
      </c>
      <c r="G48" t="s">
        <v>15</v>
      </c>
      <c r="H48">
        <v>0</v>
      </c>
      <c r="I48" t="str">
        <f t="shared" si="0"/>
        <v>Poor Sleeper</v>
      </c>
      <c r="J48">
        <f t="shared" si="1"/>
        <v>0</v>
      </c>
      <c r="K48">
        <f t="shared" si="2"/>
        <v>0</v>
      </c>
    </row>
    <row r="49" spans="1:11" x14ac:dyDescent="0.35">
      <c r="A49">
        <v>63.01</v>
      </c>
      <c r="B49">
        <v>8.18</v>
      </c>
      <c r="C49">
        <v>0</v>
      </c>
      <c r="D49">
        <v>6.27</v>
      </c>
      <c r="E49">
        <v>45.12</v>
      </c>
      <c r="F49" t="s">
        <v>13</v>
      </c>
      <c r="G49" t="s">
        <v>15</v>
      </c>
      <c r="H49">
        <v>0</v>
      </c>
      <c r="I49" t="str">
        <f t="shared" si="0"/>
        <v>Good Sleeper</v>
      </c>
      <c r="J49">
        <f t="shared" si="1"/>
        <v>0</v>
      </c>
      <c r="K49">
        <f t="shared" si="2"/>
        <v>0</v>
      </c>
    </row>
    <row r="50" spans="1:11" x14ac:dyDescent="0.35">
      <c r="A50">
        <v>35.58</v>
      </c>
      <c r="B50">
        <v>7.97</v>
      </c>
      <c r="C50">
        <v>0</v>
      </c>
      <c r="D50">
        <v>4.45</v>
      </c>
      <c r="E50">
        <v>10.029999999999999</v>
      </c>
      <c r="F50" t="s">
        <v>14</v>
      </c>
      <c r="G50" t="s">
        <v>15</v>
      </c>
      <c r="H50">
        <v>0</v>
      </c>
      <c r="I50" t="str">
        <f t="shared" si="0"/>
        <v>Good Sleeper</v>
      </c>
      <c r="J50">
        <f t="shared" si="1"/>
        <v>0</v>
      </c>
      <c r="K50">
        <f t="shared" si="2"/>
        <v>0</v>
      </c>
    </row>
    <row r="51" spans="1:11" x14ac:dyDescent="0.35">
      <c r="A51">
        <v>50.78</v>
      </c>
      <c r="B51">
        <v>8.8800000000000008</v>
      </c>
      <c r="C51">
        <v>0</v>
      </c>
      <c r="D51">
        <v>6.98</v>
      </c>
      <c r="E51">
        <v>13.66</v>
      </c>
      <c r="F51" t="s">
        <v>14</v>
      </c>
      <c r="G51" t="s">
        <v>15</v>
      </c>
      <c r="H51">
        <v>0</v>
      </c>
      <c r="I51" t="str">
        <f t="shared" si="0"/>
        <v>Good Sleeper</v>
      </c>
      <c r="J51">
        <f t="shared" si="1"/>
        <v>1</v>
      </c>
      <c r="K51">
        <f t="shared" si="2"/>
        <v>0</v>
      </c>
    </row>
    <row r="52" spans="1:11" x14ac:dyDescent="0.35">
      <c r="A52">
        <v>43.26</v>
      </c>
      <c r="B52">
        <v>4.41</v>
      </c>
      <c r="C52">
        <v>0.91</v>
      </c>
      <c r="D52">
        <v>8.16</v>
      </c>
      <c r="E52">
        <v>42.47</v>
      </c>
      <c r="F52" t="s">
        <v>14</v>
      </c>
      <c r="G52" t="s">
        <v>15</v>
      </c>
      <c r="H52">
        <v>0</v>
      </c>
      <c r="I52" t="str">
        <f t="shared" si="0"/>
        <v>Poor Sleeper</v>
      </c>
      <c r="J52">
        <f t="shared" si="1"/>
        <v>0</v>
      </c>
      <c r="K52">
        <f t="shared" si="2"/>
        <v>1</v>
      </c>
    </row>
    <row r="53" spans="1:11" x14ac:dyDescent="0.35">
      <c r="A53">
        <v>58.23</v>
      </c>
      <c r="B53">
        <v>9.7899999999999991</v>
      </c>
      <c r="C53">
        <v>0.91</v>
      </c>
      <c r="D53">
        <v>4.2</v>
      </c>
      <c r="E53">
        <v>41.68</v>
      </c>
      <c r="F53" t="s">
        <v>14</v>
      </c>
      <c r="G53" t="s">
        <v>15</v>
      </c>
      <c r="H53">
        <v>0</v>
      </c>
      <c r="I53" t="str">
        <f t="shared" si="0"/>
        <v>Good Sleeper</v>
      </c>
      <c r="J53">
        <f t="shared" si="1"/>
        <v>0</v>
      </c>
      <c r="K53">
        <f t="shared" si="2"/>
        <v>1</v>
      </c>
    </row>
    <row r="54" spans="1:11" x14ac:dyDescent="0.35">
      <c r="A54">
        <v>22.9</v>
      </c>
      <c r="B54">
        <v>3.85</v>
      </c>
      <c r="C54">
        <v>1.24</v>
      </c>
      <c r="D54">
        <v>7.79</v>
      </c>
      <c r="E54">
        <v>21.57</v>
      </c>
      <c r="F54" t="s">
        <v>11</v>
      </c>
      <c r="G54" t="s">
        <v>15</v>
      </c>
      <c r="H54">
        <v>0</v>
      </c>
      <c r="I54" t="str">
        <f t="shared" si="0"/>
        <v>Poor Sleeper</v>
      </c>
      <c r="J54">
        <f t="shared" si="1"/>
        <v>0</v>
      </c>
      <c r="K54">
        <f t="shared" si="2"/>
        <v>1</v>
      </c>
    </row>
    <row r="55" spans="1:11" x14ac:dyDescent="0.35">
      <c r="A55">
        <v>52.86</v>
      </c>
      <c r="B55">
        <v>7.5</v>
      </c>
      <c r="C55">
        <v>1.26</v>
      </c>
      <c r="D55">
        <v>6.94</v>
      </c>
      <c r="E55">
        <v>20.190000000000001</v>
      </c>
      <c r="F55" t="s">
        <v>13</v>
      </c>
      <c r="G55" t="s">
        <v>15</v>
      </c>
      <c r="H55">
        <v>0</v>
      </c>
      <c r="I55" t="str">
        <f t="shared" si="0"/>
        <v>Good Sleeper</v>
      </c>
      <c r="J55">
        <f t="shared" si="1"/>
        <v>1</v>
      </c>
      <c r="K55">
        <f t="shared" si="2"/>
        <v>1</v>
      </c>
    </row>
    <row r="56" spans="1:11" x14ac:dyDescent="0.35">
      <c r="A56">
        <v>61.14</v>
      </c>
      <c r="B56">
        <v>7.09</v>
      </c>
      <c r="C56">
        <v>1.37</v>
      </c>
      <c r="D56">
        <v>8.2799999999999994</v>
      </c>
      <c r="E56">
        <v>49.82</v>
      </c>
      <c r="F56" t="s">
        <v>11</v>
      </c>
      <c r="G56" t="s">
        <v>15</v>
      </c>
      <c r="H56">
        <v>0</v>
      </c>
      <c r="I56" t="str">
        <f t="shared" si="0"/>
        <v>Good Sleeper</v>
      </c>
      <c r="J56">
        <f t="shared" si="1"/>
        <v>0</v>
      </c>
      <c r="K56">
        <f t="shared" si="2"/>
        <v>1</v>
      </c>
    </row>
    <row r="57" spans="1:11" x14ac:dyDescent="0.35">
      <c r="A57">
        <v>21.66</v>
      </c>
      <c r="B57">
        <v>5.78</v>
      </c>
      <c r="C57">
        <v>1.68</v>
      </c>
      <c r="D57">
        <v>8.98</v>
      </c>
      <c r="E57">
        <v>2.84</v>
      </c>
      <c r="F57" t="s">
        <v>11</v>
      </c>
      <c r="G57" t="s">
        <v>15</v>
      </c>
      <c r="H57">
        <v>0</v>
      </c>
      <c r="I57" t="str">
        <f t="shared" si="0"/>
        <v>Poor Sleeper</v>
      </c>
      <c r="J57">
        <f t="shared" si="1"/>
        <v>0</v>
      </c>
      <c r="K57">
        <f t="shared" si="2"/>
        <v>1</v>
      </c>
    </row>
    <row r="58" spans="1:11" x14ac:dyDescent="0.35">
      <c r="A58">
        <v>12.64</v>
      </c>
      <c r="B58">
        <v>6.16</v>
      </c>
      <c r="C58">
        <v>2.06</v>
      </c>
      <c r="D58">
        <v>7.5</v>
      </c>
      <c r="E58">
        <v>11.69</v>
      </c>
      <c r="F58" t="s">
        <v>14</v>
      </c>
      <c r="G58" t="s">
        <v>15</v>
      </c>
      <c r="H58">
        <v>0</v>
      </c>
      <c r="I58" t="str">
        <f t="shared" si="0"/>
        <v>Good Sleeper</v>
      </c>
      <c r="J58">
        <f t="shared" si="1"/>
        <v>0</v>
      </c>
      <c r="K58">
        <f t="shared" si="2"/>
        <v>1</v>
      </c>
    </row>
    <row r="59" spans="1:11" x14ac:dyDescent="0.35">
      <c r="A59">
        <v>77.010000000000005</v>
      </c>
      <c r="B59">
        <v>9.83</v>
      </c>
      <c r="C59">
        <v>2.33</v>
      </c>
      <c r="D59">
        <v>8.85</v>
      </c>
      <c r="E59">
        <v>17.2</v>
      </c>
      <c r="F59" t="s">
        <v>14</v>
      </c>
      <c r="G59" t="s">
        <v>15</v>
      </c>
      <c r="H59">
        <v>0</v>
      </c>
      <c r="I59" t="str">
        <f t="shared" si="0"/>
        <v>Good Sleeper</v>
      </c>
      <c r="J59">
        <f t="shared" si="1"/>
        <v>1</v>
      </c>
      <c r="K59">
        <f t="shared" si="2"/>
        <v>1</v>
      </c>
    </row>
    <row r="60" spans="1:11" x14ac:dyDescent="0.35">
      <c r="A60">
        <v>69.94</v>
      </c>
      <c r="B60">
        <v>7.47</v>
      </c>
      <c r="C60">
        <v>2.4700000000000002</v>
      </c>
      <c r="D60">
        <v>5.59</v>
      </c>
      <c r="E60">
        <v>23.59</v>
      </c>
      <c r="F60" t="s">
        <v>14</v>
      </c>
      <c r="G60" t="s">
        <v>15</v>
      </c>
      <c r="H60">
        <v>0</v>
      </c>
      <c r="I60" t="str">
        <f t="shared" si="0"/>
        <v>Good Sleeper</v>
      </c>
      <c r="J60">
        <f t="shared" si="1"/>
        <v>1</v>
      </c>
      <c r="K60">
        <f t="shared" si="2"/>
        <v>1</v>
      </c>
    </row>
    <row r="61" spans="1:11" x14ac:dyDescent="0.35">
      <c r="A61">
        <v>62.35</v>
      </c>
      <c r="B61">
        <v>6.51</v>
      </c>
      <c r="C61">
        <v>2.5</v>
      </c>
      <c r="D61">
        <v>7.93</v>
      </c>
      <c r="E61">
        <v>3.68</v>
      </c>
      <c r="F61" t="s">
        <v>14</v>
      </c>
      <c r="G61" t="s">
        <v>15</v>
      </c>
      <c r="H61">
        <v>0</v>
      </c>
      <c r="I61" t="str">
        <f t="shared" si="0"/>
        <v>Good Sleeper</v>
      </c>
      <c r="J61">
        <f t="shared" si="1"/>
        <v>1</v>
      </c>
      <c r="K61">
        <f t="shared" si="2"/>
        <v>1</v>
      </c>
    </row>
    <row r="62" spans="1:11" x14ac:dyDescent="0.35">
      <c r="A62">
        <v>50.7</v>
      </c>
      <c r="B62">
        <v>7.19</v>
      </c>
      <c r="C62">
        <v>3.11</v>
      </c>
      <c r="D62">
        <v>4.55</v>
      </c>
      <c r="E62">
        <v>51.35</v>
      </c>
      <c r="F62" t="s">
        <v>14</v>
      </c>
      <c r="G62" t="s">
        <v>15</v>
      </c>
      <c r="H62">
        <v>0</v>
      </c>
      <c r="I62" t="str">
        <f t="shared" si="0"/>
        <v>Good Sleeper</v>
      </c>
      <c r="J62">
        <f t="shared" si="1"/>
        <v>0</v>
      </c>
      <c r="K62">
        <f t="shared" si="2"/>
        <v>1</v>
      </c>
    </row>
    <row r="63" spans="1:11" x14ac:dyDescent="0.35">
      <c r="A63">
        <v>54.55</v>
      </c>
      <c r="B63">
        <v>7.59</v>
      </c>
      <c r="C63">
        <v>3.13</v>
      </c>
      <c r="D63">
        <v>2.4</v>
      </c>
      <c r="E63">
        <v>26.51</v>
      </c>
      <c r="F63" t="s">
        <v>14</v>
      </c>
      <c r="G63" t="s">
        <v>15</v>
      </c>
      <c r="H63">
        <v>0</v>
      </c>
      <c r="I63" t="str">
        <f t="shared" si="0"/>
        <v>Good Sleeper</v>
      </c>
      <c r="J63">
        <f t="shared" si="1"/>
        <v>1</v>
      </c>
      <c r="K63">
        <f t="shared" si="2"/>
        <v>1</v>
      </c>
    </row>
    <row r="64" spans="1:11" x14ac:dyDescent="0.35">
      <c r="A64">
        <v>45.93</v>
      </c>
      <c r="B64">
        <v>7.15</v>
      </c>
      <c r="C64">
        <v>3.14</v>
      </c>
      <c r="D64">
        <v>8.73</v>
      </c>
      <c r="E64">
        <v>25.42</v>
      </c>
      <c r="F64" t="s">
        <v>14</v>
      </c>
      <c r="G64" t="s">
        <v>15</v>
      </c>
      <c r="H64">
        <v>0</v>
      </c>
      <c r="I64" t="str">
        <f t="shared" si="0"/>
        <v>Good Sleeper</v>
      </c>
      <c r="J64">
        <f t="shared" si="1"/>
        <v>0</v>
      </c>
      <c r="K64">
        <f t="shared" si="2"/>
        <v>1</v>
      </c>
    </row>
    <row r="65" spans="1:11" x14ac:dyDescent="0.35">
      <c r="A65">
        <v>55.36</v>
      </c>
      <c r="B65">
        <v>7.33</v>
      </c>
      <c r="C65">
        <v>3.15</v>
      </c>
      <c r="D65">
        <v>6.79</v>
      </c>
      <c r="E65">
        <v>34.119999999999997</v>
      </c>
      <c r="F65" t="s">
        <v>13</v>
      </c>
      <c r="G65" t="s">
        <v>15</v>
      </c>
      <c r="H65">
        <v>0</v>
      </c>
      <c r="I65" t="str">
        <f t="shared" si="0"/>
        <v>Good Sleeper</v>
      </c>
      <c r="J65">
        <f t="shared" si="1"/>
        <v>0</v>
      </c>
      <c r="K65">
        <f t="shared" si="2"/>
        <v>1</v>
      </c>
    </row>
    <row r="66" spans="1:11" x14ac:dyDescent="0.35">
      <c r="A66">
        <v>37.659999999999997</v>
      </c>
      <c r="B66">
        <v>4.79</v>
      </c>
      <c r="C66">
        <v>3.32</v>
      </c>
      <c r="D66">
        <v>8.5500000000000007</v>
      </c>
      <c r="E66">
        <v>0</v>
      </c>
      <c r="F66" t="s">
        <v>11</v>
      </c>
      <c r="G66" t="s">
        <v>15</v>
      </c>
      <c r="H66">
        <v>0</v>
      </c>
      <c r="I66" t="str">
        <f t="shared" ref="I66:I102" si="3">IF(B66&gt;=6, "Good Sleeper", "Poor Sleeper")</f>
        <v>Poor Sleeper</v>
      </c>
      <c r="J66">
        <f t="shared" ref="J66:J102" si="4">IF(AND(A66&gt;50,E66&lt;30),1,0)</f>
        <v>0</v>
      </c>
      <c r="K66">
        <f t="shared" ref="K66:K102" si="5">IF(C66&gt;0,1,0)</f>
        <v>1</v>
      </c>
    </row>
    <row r="67" spans="1:11" x14ac:dyDescent="0.35">
      <c r="A67">
        <v>55.52</v>
      </c>
      <c r="B67">
        <v>6.33</v>
      </c>
      <c r="C67">
        <v>3.44</v>
      </c>
      <c r="D67">
        <v>5.71</v>
      </c>
      <c r="E67">
        <v>17.7</v>
      </c>
      <c r="F67" t="s">
        <v>14</v>
      </c>
      <c r="G67" t="s">
        <v>15</v>
      </c>
      <c r="H67">
        <v>0</v>
      </c>
      <c r="I67" t="str">
        <f t="shared" si="3"/>
        <v>Good Sleeper</v>
      </c>
      <c r="J67">
        <f t="shared" si="4"/>
        <v>1</v>
      </c>
      <c r="K67">
        <f t="shared" si="5"/>
        <v>1</v>
      </c>
    </row>
    <row r="68" spans="1:11" x14ac:dyDescent="0.35">
      <c r="A68">
        <v>42.94</v>
      </c>
      <c r="B68">
        <v>8.43</v>
      </c>
      <c r="C68">
        <v>3.65</v>
      </c>
      <c r="D68">
        <v>6.6</v>
      </c>
      <c r="E68">
        <v>37.130000000000003</v>
      </c>
      <c r="F68" t="s">
        <v>14</v>
      </c>
      <c r="G68" t="s">
        <v>15</v>
      </c>
      <c r="H68">
        <v>0</v>
      </c>
      <c r="I68" t="str">
        <f t="shared" si="3"/>
        <v>Good Sleeper</v>
      </c>
      <c r="J68">
        <f t="shared" si="4"/>
        <v>0</v>
      </c>
      <c r="K68">
        <f t="shared" si="5"/>
        <v>1</v>
      </c>
    </row>
    <row r="69" spans="1:11" x14ac:dyDescent="0.35">
      <c r="A69">
        <v>37.229999999999997</v>
      </c>
      <c r="B69">
        <v>8.33</v>
      </c>
      <c r="C69">
        <v>3.69</v>
      </c>
      <c r="D69">
        <v>7.82</v>
      </c>
      <c r="E69">
        <v>28.33</v>
      </c>
      <c r="F69" t="s">
        <v>11</v>
      </c>
      <c r="G69" t="s">
        <v>15</v>
      </c>
      <c r="H69">
        <v>0</v>
      </c>
      <c r="I69" t="str">
        <f t="shared" si="3"/>
        <v>Good Sleeper</v>
      </c>
      <c r="J69">
        <f t="shared" si="4"/>
        <v>0</v>
      </c>
      <c r="K69">
        <f t="shared" si="5"/>
        <v>1</v>
      </c>
    </row>
    <row r="70" spans="1:11" x14ac:dyDescent="0.35">
      <c r="A70">
        <v>84.39</v>
      </c>
      <c r="B70">
        <v>7.09</v>
      </c>
      <c r="C70">
        <v>3.71</v>
      </c>
      <c r="D70">
        <v>6.15</v>
      </c>
      <c r="E70">
        <v>41.17</v>
      </c>
      <c r="F70" t="s">
        <v>14</v>
      </c>
      <c r="G70" t="s">
        <v>15</v>
      </c>
      <c r="H70">
        <v>0</v>
      </c>
      <c r="I70" t="str">
        <f t="shared" si="3"/>
        <v>Good Sleeper</v>
      </c>
      <c r="J70">
        <f t="shared" si="4"/>
        <v>0</v>
      </c>
      <c r="K70">
        <f t="shared" si="5"/>
        <v>1</v>
      </c>
    </row>
    <row r="71" spans="1:11" x14ac:dyDescent="0.35">
      <c r="A71">
        <v>47.08</v>
      </c>
      <c r="B71">
        <v>5.1100000000000003</v>
      </c>
      <c r="C71">
        <v>3.79</v>
      </c>
      <c r="D71">
        <v>5.0999999999999996</v>
      </c>
      <c r="E71">
        <v>17.670000000000002</v>
      </c>
      <c r="F71" t="s">
        <v>11</v>
      </c>
      <c r="G71" t="s">
        <v>15</v>
      </c>
      <c r="H71">
        <v>0</v>
      </c>
      <c r="I71" t="str">
        <f t="shared" si="3"/>
        <v>Poor Sleeper</v>
      </c>
      <c r="J71">
        <f t="shared" si="4"/>
        <v>0</v>
      </c>
      <c r="K71">
        <f t="shared" si="5"/>
        <v>1</v>
      </c>
    </row>
    <row r="72" spans="1:11" x14ac:dyDescent="0.35">
      <c r="A72">
        <v>15.14</v>
      </c>
      <c r="B72">
        <v>5.24</v>
      </c>
      <c r="C72">
        <v>3.82</v>
      </c>
      <c r="D72">
        <v>7.79</v>
      </c>
      <c r="E72">
        <v>3.24</v>
      </c>
      <c r="F72" t="s">
        <v>14</v>
      </c>
      <c r="G72" t="s">
        <v>15</v>
      </c>
      <c r="H72">
        <v>0</v>
      </c>
      <c r="I72" t="str">
        <f t="shared" si="3"/>
        <v>Poor Sleeper</v>
      </c>
      <c r="J72">
        <f t="shared" si="4"/>
        <v>0</v>
      </c>
      <c r="K72">
        <f t="shared" si="5"/>
        <v>1</v>
      </c>
    </row>
    <row r="73" spans="1:11" x14ac:dyDescent="0.35">
      <c r="A73">
        <v>43.79</v>
      </c>
      <c r="B73">
        <v>5.64</v>
      </c>
      <c r="C73">
        <v>3.9</v>
      </c>
      <c r="D73">
        <v>5.26</v>
      </c>
      <c r="E73">
        <v>45.06</v>
      </c>
      <c r="F73" t="s">
        <v>13</v>
      </c>
      <c r="G73" t="s">
        <v>15</v>
      </c>
      <c r="H73">
        <v>0</v>
      </c>
      <c r="I73" t="str">
        <f t="shared" si="3"/>
        <v>Poor Sleeper</v>
      </c>
      <c r="J73">
        <f t="shared" si="4"/>
        <v>0</v>
      </c>
      <c r="K73">
        <f t="shared" si="5"/>
        <v>1</v>
      </c>
    </row>
    <row r="74" spans="1:11" x14ac:dyDescent="0.35">
      <c r="A74">
        <v>20.260000000000002</v>
      </c>
      <c r="B74">
        <v>3.52</v>
      </c>
      <c r="C74">
        <v>4.0599999999999996</v>
      </c>
      <c r="D74">
        <v>7.46</v>
      </c>
      <c r="E74">
        <v>22.17</v>
      </c>
      <c r="F74" t="s">
        <v>14</v>
      </c>
      <c r="G74" t="s">
        <v>15</v>
      </c>
      <c r="H74">
        <v>0</v>
      </c>
      <c r="I74" t="str">
        <f t="shared" si="3"/>
        <v>Poor Sleeper</v>
      </c>
      <c r="J74">
        <f t="shared" si="4"/>
        <v>0</v>
      </c>
      <c r="K74">
        <f t="shared" si="5"/>
        <v>1</v>
      </c>
    </row>
    <row r="75" spans="1:11" x14ac:dyDescent="0.35">
      <c r="A75">
        <v>20.16</v>
      </c>
      <c r="B75">
        <v>8.8000000000000007</v>
      </c>
      <c r="C75">
        <v>4.1500000000000004</v>
      </c>
      <c r="D75">
        <v>2.98</v>
      </c>
      <c r="E75">
        <v>30.4</v>
      </c>
      <c r="F75" t="s">
        <v>13</v>
      </c>
      <c r="G75" t="s">
        <v>15</v>
      </c>
      <c r="H75">
        <v>0</v>
      </c>
      <c r="I75" t="str">
        <f t="shared" si="3"/>
        <v>Good Sleeper</v>
      </c>
      <c r="J75">
        <f t="shared" si="4"/>
        <v>0</v>
      </c>
      <c r="K75">
        <f t="shared" si="5"/>
        <v>1</v>
      </c>
    </row>
    <row r="76" spans="1:11" x14ac:dyDescent="0.35">
      <c r="A76">
        <v>42.5</v>
      </c>
      <c r="B76">
        <v>2.34</v>
      </c>
      <c r="C76">
        <v>0</v>
      </c>
      <c r="D76">
        <v>9.67</v>
      </c>
      <c r="E76">
        <v>31.94</v>
      </c>
      <c r="F76" t="s">
        <v>11</v>
      </c>
      <c r="G76" t="s">
        <v>12</v>
      </c>
      <c r="H76">
        <v>1</v>
      </c>
      <c r="I76" t="str">
        <f t="shared" si="3"/>
        <v>Poor Sleeper</v>
      </c>
      <c r="J76">
        <f t="shared" si="4"/>
        <v>0</v>
      </c>
      <c r="K76">
        <f t="shared" si="5"/>
        <v>0</v>
      </c>
    </row>
    <row r="77" spans="1:11" x14ac:dyDescent="0.35">
      <c r="A77">
        <v>55.22</v>
      </c>
      <c r="B77">
        <v>4.3099999999999996</v>
      </c>
      <c r="C77">
        <v>0</v>
      </c>
      <c r="D77">
        <v>3.75</v>
      </c>
      <c r="E77">
        <v>31.16</v>
      </c>
      <c r="F77" t="s">
        <v>11</v>
      </c>
      <c r="G77" t="s">
        <v>12</v>
      </c>
      <c r="H77">
        <v>1</v>
      </c>
      <c r="I77" t="str">
        <f t="shared" si="3"/>
        <v>Poor Sleeper</v>
      </c>
      <c r="J77">
        <f t="shared" si="4"/>
        <v>0</v>
      </c>
      <c r="K77">
        <f t="shared" si="5"/>
        <v>0</v>
      </c>
    </row>
    <row r="78" spans="1:11" x14ac:dyDescent="0.35">
      <c r="A78">
        <v>55.08</v>
      </c>
      <c r="B78">
        <v>4.55</v>
      </c>
      <c r="C78">
        <v>0</v>
      </c>
      <c r="D78">
        <v>7.18</v>
      </c>
      <c r="E78">
        <v>7.29</v>
      </c>
      <c r="F78" t="s">
        <v>14</v>
      </c>
      <c r="G78" t="s">
        <v>12</v>
      </c>
      <c r="H78">
        <v>1</v>
      </c>
      <c r="I78" t="str">
        <f t="shared" si="3"/>
        <v>Poor Sleeper</v>
      </c>
      <c r="J78">
        <f t="shared" si="4"/>
        <v>1</v>
      </c>
      <c r="K78">
        <f t="shared" si="5"/>
        <v>0</v>
      </c>
    </row>
    <row r="79" spans="1:11" x14ac:dyDescent="0.35">
      <c r="A79">
        <v>40.21</v>
      </c>
      <c r="B79">
        <v>6.61</v>
      </c>
      <c r="C79">
        <v>0.52</v>
      </c>
      <c r="D79">
        <v>6.75</v>
      </c>
      <c r="E79">
        <v>21.27</v>
      </c>
      <c r="F79" t="s">
        <v>13</v>
      </c>
      <c r="G79" t="s">
        <v>12</v>
      </c>
      <c r="H79">
        <v>1</v>
      </c>
      <c r="I79" t="str">
        <f t="shared" si="3"/>
        <v>Good Sleeper</v>
      </c>
      <c r="J79">
        <f t="shared" si="4"/>
        <v>0</v>
      </c>
      <c r="K79">
        <f t="shared" si="5"/>
        <v>1</v>
      </c>
    </row>
    <row r="80" spans="1:11" x14ac:dyDescent="0.35">
      <c r="A80">
        <v>91.02</v>
      </c>
      <c r="B80">
        <v>7.7</v>
      </c>
      <c r="C80">
        <v>0.73</v>
      </c>
      <c r="D80">
        <v>1.69</v>
      </c>
      <c r="E80">
        <v>19.37</v>
      </c>
      <c r="F80" t="s">
        <v>14</v>
      </c>
      <c r="G80" t="s">
        <v>12</v>
      </c>
      <c r="H80">
        <v>1</v>
      </c>
      <c r="I80" t="str">
        <f t="shared" si="3"/>
        <v>Good Sleeper</v>
      </c>
      <c r="J80">
        <f t="shared" si="4"/>
        <v>1</v>
      </c>
      <c r="K80">
        <f t="shared" si="5"/>
        <v>1</v>
      </c>
    </row>
    <row r="81" spans="1:11" x14ac:dyDescent="0.35">
      <c r="A81">
        <v>51.91</v>
      </c>
      <c r="B81">
        <v>5.91</v>
      </c>
      <c r="C81">
        <v>0.88</v>
      </c>
      <c r="D81">
        <v>7.81</v>
      </c>
      <c r="E81">
        <v>30.74</v>
      </c>
      <c r="F81" t="s">
        <v>14</v>
      </c>
      <c r="G81" t="s">
        <v>12</v>
      </c>
      <c r="H81">
        <v>1</v>
      </c>
      <c r="I81" t="str">
        <f t="shared" si="3"/>
        <v>Poor Sleeper</v>
      </c>
      <c r="J81">
        <f t="shared" si="4"/>
        <v>0</v>
      </c>
      <c r="K81">
        <f t="shared" si="5"/>
        <v>1</v>
      </c>
    </row>
    <row r="82" spans="1:11" x14ac:dyDescent="0.35">
      <c r="A82">
        <v>46.98</v>
      </c>
      <c r="B82">
        <v>7.18</v>
      </c>
      <c r="C82">
        <v>1.93</v>
      </c>
      <c r="D82">
        <v>9.9499999999999993</v>
      </c>
      <c r="E82">
        <v>0</v>
      </c>
      <c r="F82" t="s">
        <v>11</v>
      </c>
      <c r="G82" t="s">
        <v>12</v>
      </c>
      <c r="H82">
        <v>1</v>
      </c>
      <c r="I82" t="str">
        <f t="shared" si="3"/>
        <v>Good Sleeper</v>
      </c>
      <c r="J82">
        <f t="shared" si="4"/>
        <v>0</v>
      </c>
      <c r="K82">
        <f t="shared" si="5"/>
        <v>1</v>
      </c>
    </row>
    <row r="83" spans="1:11" x14ac:dyDescent="0.35">
      <c r="A83">
        <v>71.87</v>
      </c>
      <c r="B83">
        <v>9.2799999999999994</v>
      </c>
      <c r="C83">
        <v>2.06</v>
      </c>
      <c r="D83">
        <v>8.5</v>
      </c>
      <c r="E83">
        <v>34.44</v>
      </c>
      <c r="F83" t="s">
        <v>14</v>
      </c>
      <c r="G83" t="s">
        <v>12</v>
      </c>
      <c r="H83">
        <v>1</v>
      </c>
      <c r="I83" t="str">
        <f t="shared" si="3"/>
        <v>Good Sleeper</v>
      </c>
      <c r="J83">
        <f t="shared" si="4"/>
        <v>0</v>
      </c>
      <c r="K83">
        <f t="shared" si="5"/>
        <v>1</v>
      </c>
    </row>
    <row r="84" spans="1:11" x14ac:dyDescent="0.35">
      <c r="A84">
        <v>50.13</v>
      </c>
      <c r="B84">
        <v>6.16</v>
      </c>
      <c r="C84">
        <v>2.0699999999999998</v>
      </c>
      <c r="D84">
        <v>6.94</v>
      </c>
      <c r="E84">
        <v>9.83</v>
      </c>
      <c r="F84" t="s">
        <v>13</v>
      </c>
      <c r="G84" t="s">
        <v>12</v>
      </c>
      <c r="H84">
        <v>1</v>
      </c>
      <c r="I84" t="str">
        <f t="shared" si="3"/>
        <v>Good Sleeper</v>
      </c>
      <c r="J84">
        <f t="shared" si="4"/>
        <v>1</v>
      </c>
      <c r="K84">
        <f t="shared" si="5"/>
        <v>1</v>
      </c>
    </row>
    <row r="85" spans="1:11" x14ac:dyDescent="0.35">
      <c r="A85">
        <v>62.44</v>
      </c>
      <c r="B85">
        <v>7.93</v>
      </c>
      <c r="C85">
        <v>2.13</v>
      </c>
      <c r="D85">
        <v>7.24</v>
      </c>
      <c r="E85">
        <v>26.13</v>
      </c>
      <c r="F85" t="s">
        <v>13</v>
      </c>
      <c r="G85" t="s">
        <v>12</v>
      </c>
      <c r="H85">
        <v>1</v>
      </c>
      <c r="I85" t="str">
        <f t="shared" si="3"/>
        <v>Good Sleeper</v>
      </c>
      <c r="J85">
        <f t="shared" si="4"/>
        <v>1</v>
      </c>
      <c r="K85">
        <f t="shared" si="5"/>
        <v>1</v>
      </c>
    </row>
    <row r="86" spans="1:11" x14ac:dyDescent="0.35">
      <c r="A86">
        <v>59.69</v>
      </c>
      <c r="B86">
        <v>7.01</v>
      </c>
      <c r="C86">
        <v>2.29</v>
      </c>
      <c r="D86">
        <v>10.86</v>
      </c>
      <c r="E86">
        <v>27.79</v>
      </c>
      <c r="F86" t="s">
        <v>11</v>
      </c>
      <c r="G86" t="s">
        <v>12</v>
      </c>
      <c r="H86">
        <v>1</v>
      </c>
      <c r="I86" t="str">
        <f t="shared" si="3"/>
        <v>Good Sleeper</v>
      </c>
      <c r="J86">
        <f t="shared" si="4"/>
        <v>1</v>
      </c>
      <c r="K86">
        <f t="shared" si="5"/>
        <v>1</v>
      </c>
    </row>
    <row r="87" spans="1:11" x14ac:dyDescent="0.35">
      <c r="A87">
        <v>5</v>
      </c>
      <c r="B87">
        <v>4.62</v>
      </c>
      <c r="C87">
        <v>2.3199999999999998</v>
      </c>
      <c r="D87">
        <v>8.6</v>
      </c>
      <c r="E87">
        <v>26.39</v>
      </c>
      <c r="F87" t="s">
        <v>13</v>
      </c>
      <c r="G87" t="s">
        <v>12</v>
      </c>
      <c r="H87">
        <v>1</v>
      </c>
      <c r="I87" t="str">
        <f t="shared" si="3"/>
        <v>Poor Sleeper</v>
      </c>
      <c r="J87">
        <f t="shared" si="4"/>
        <v>0</v>
      </c>
      <c r="K87">
        <f t="shared" si="5"/>
        <v>1</v>
      </c>
    </row>
    <row r="88" spans="1:11" x14ac:dyDescent="0.35">
      <c r="A88">
        <v>49.83</v>
      </c>
      <c r="B88">
        <v>1.88</v>
      </c>
      <c r="C88">
        <v>2.33</v>
      </c>
      <c r="D88">
        <v>10.54</v>
      </c>
      <c r="E88">
        <v>30.65</v>
      </c>
      <c r="F88" t="s">
        <v>14</v>
      </c>
      <c r="G88" t="s">
        <v>12</v>
      </c>
      <c r="H88">
        <v>1</v>
      </c>
      <c r="I88" t="str">
        <f t="shared" si="3"/>
        <v>Poor Sleeper</v>
      </c>
      <c r="J88">
        <f t="shared" si="4"/>
        <v>0</v>
      </c>
      <c r="K88">
        <f t="shared" si="5"/>
        <v>1</v>
      </c>
    </row>
    <row r="89" spans="1:11" x14ac:dyDescent="0.35">
      <c r="A89">
        <v>53.09</v>
      </c>
      <c r="B89">
        <v>5.21</v>
      </c>
      <c r="C89">
        <v>2.4</v>
      </c>
      <c r="D89">
        <v>11.16</v>
      </c>
      <c r="E89">
        <v>26.25</v>
      </c>
      <c r="F89" t="s">
        <v>14</v>
      </c>
      <c r="G89" t="s">
        <v>12</v>
      </c>
      <c r="H89">
        <v>1</v>
      </c>
      <c r="I89" t="str">
        <f t="shared" si="3"/>
        <v>Poor Sleeper</v>
      </c>
      <c r="J89">
        <f t="shared" si="4"/>
        <v>1</v>
      </c>
      <c r="K89">
        <f t="shared" si="5"/>
        <v>1</v>
      </c>
    </row>
    <row r="90" spans="1:11" x14ac:dyDescent="0.35">
      <c r="A90">
        <v>75.48</v>
      </c>
      <c r="B90">
        <v>5.28</v>
      </c>
      <c r="C90">
        <v>2.4700000000000002</v>
      </c>
      <c r="D90">
        <v>6.05</v>
      </c>
      <c r="E90">
        <v>23.88</v>
      </c>
      <c r="F90" t="s">
        <v>13</v>
      </c>
      <c r="G90" t="s">
        <v>12</v>
      </c>
      <c r="H90">
        <v>1</v>
      </c>
      <c r="I90" t="str">
        <f t="shared" si="3"/>
        <v>Poor Sleeper</v>
      </c>
      <c r="J90">
        <f t="shared" si="4"/>
        <v>1</v>
      </c>
      <c r="K90">
        <f t="shared" si="5"/>
        <v>1</v>
      </c>
    </row>
    <row r="91" spans="1:11" x14ac:dyDescent="0.35">
      <c r="A91">
        <v>21.81</v>
      </c>
      <c r="B91">
        <v>1.79</v>
      </c>
      <c r="C91">
        <v>3.15</v>
      </c>
      <c r="D91">
        <v>4.2699999999999996</v>
      </c>
      <c r="E91">
        <v>27.5</v>
      </c>
      <c r="F91" t="s">
        <v>14</v>
      </c>
      <c r="G91" t="s">
        <v>12</v>
      </c>
      <c r="H91">
        <v>1</v>
      </c>
      <c r="I91" t="str">
        <f t="shared" si="3"/>
        <v>Poor Sleeper</v>
      </c>
      <c r="J91">
        <f t="shared" si="4"/>
        <v>0</v>
      </c>
      <c r="K91">
        <f t="shared" si="5"/>
        <v>1</v>
      </c>
    </row>
    <row r="92" spans="1:11" x14ac:dyDescent="0.35">
      <c r="A92">
        <v>47.42</v>
      </c>
      <c r="B92">
        <v>4.63</v>
      </c>
      <c r="C92">
        <v>4.0199999999999996</v>
      </c>
      <c r="D92">
        <v>9.49</v>
      </c>
      <c r="E92">
        <v>0</v>
      </c>
      <c r="F92" t="s">
        <v>14</v>
      </c>
      <c r="G92" t="s">
        <v>12</v>
      </c>
      <c r="H92">
        <v>1</v>
      </c>
      <c r="I92" t="str">
        <f t="shared" si="3"/>
        <v>Poor Sleeper</v>
      </c>
      <c r="J92">
        <f t="shared" si="4"/>
        <v>0</v>
      </c>
      <c r="K92">
        <f t="shared" si="5"/>
        <v>1</v>
      </c>
    </row>
    <row r="93" spans="1:11" x14ac:dyDescent="0.35">
      <c r="A93">
        <v>70.400000000000006</v>
      </c>
      <c r="B93">
        <v>6.34</v>
      </c>
      <c r="C93">
        <v>4.0599999999999996</v>
      </c>
      <c r="D93">
        <v>5.68</v>
      </c>
      <c r="E93">
        <v>49.13</v>
      </c>
      <c r="F93" t="s">
        <v>14</v>
      </c>
      <c r="G93" t="s">
        <v>12</v>
      </c>
      <c r="H93">
        <v>1</v>
      </c>
      <c r="I93" t="str">
        <f t="shared" si="3"/>
        <v>Good Sleeper</v>
      </c>
      <c r="J93">
        <f t="shared" si="4"/>
        <v>0</v>
      </c>
      <c r="K93">
        <f t="shared" si="5"/>
        <v>1</v>
      </c>
    </row>
    <row r="94" spans="1:11" x14ac:dyDescent="0.35">
      <c r="A94">
        <v>48.12</v>
      </c>
      <c r="B94">
        <v>3.65</v>
      </c>
      <c r="C94">
        <v>5.0599999999999996</v>
      </c>
      <c r="D94">
        <v>3.27</v>
      </c>
      <c r="E94">
        <v>30.43</v>
      </c>
      <c r="F94" t="s">
        <v>11</v>
      </c>
      <c r="G94" t="s">
        <v>12</v>
      </c>
      <c r="H94">
        <v>1</v>
      </c>
      <c r="I94" t="str">
        <f t="shared" si="3"/>
        <v>Poor Sleeper</v>
      </c>
      <c r="J94">
        <f t="shared" si="4"/>
        <v>0</v>
      </c>
      <c r="K94">
        <f t="shared" si="5"/>
        <v>1</v>
      </c>
    </row>
    <row r="95" spans="1:11" x14ac:dyDescent="0.35">
      <c r="A95">
        <v>28.67</v>
      </c>
      <c r="B95">
        <v>3.26</v>
      </c>
      <c r="C95">
        <v>5.61</v>
      </c>
      <c r="D95">
        <v>4.0599999999999996</v>
      </c>
      <c r="E95">
        <v>35.67</v>
      </c>
      <c r="F95" t="s">
        <v>11</v>
      </c>
      <c r="G95" t="s">
        <v>12</v>
      </c>
      <c r="H95">
        <v>1</v>
      </c>
      <c r="I95" t="str">
        <f t="shared" si="3"/>
        <v>Poor Sleeper</v>
      </c>
      <c r="J95">
        <f t="shared" si="4"/>
        <v>0</v>
      </c>
      <c r="K95">
        <f t="shared" si="5"/>
        <v>1</v>
      </c>
    </row>
    <row r="96" spans="1:11" x14ac:dyDescent="0.35">
      <c r="A96">
        <v>82.53</v>
      </c>
      <c r="B96">
        <v>6.07</v>
      </c>
      <c r="C96">
        <v>7.59</v>
      </c>
      <c r="D96">
        <v>8.08</v>
      </c>
      <c r="E96">
        <v>34.049999999999997</v>
      </c>
      <c r="F96" t="s">
        <v>14</v>
      </c>
      <c r="G96" t="s">
        <v>12</v>
      </c>
      <c r="H96">
        <v>1</v>
      </c>
      <c r="I96" t="str">
        <f t="shared" si="3"/>
        <v>Good Sleeper</v>
      </c>
      <c r="J96">
        <f t="shared" si="4"/>
        <v>0</v>
      </c>
      <c r="K96">
        <f t="shared" si="5"/>
        <v>1</v>
      </c>
    </row>
    <row r="97" spans="1:11" x14ac:dyDescent="0.35">
      <c r="A97">
        <v>51.76</v>
      </c>
      <c r="B97">
        <v>3.87</v>
      </c>
      <c r="C97">
        <v>0</v>
      </c>
      <c r="D97">
        <v>3.04</v>
      </c>
      <c r="E97">
        <v>59.05</v>
      </c>
      <c r="F97" t="s">
        <v>11</v>
      </c>
      <c r="G97" t="s">
        <v>15</v>
      </c>
      <c r="H97">
        <v>1</v>
      </c>
      <c r="I97" t="str">
        <f t="shared" si="3"/>
        <v>Poor Sleeper</v>
      </c>
      <c r="J97">
        <f t="shared" si="4"/>
        <v>0</v>
      </c>
      <c r="K97">
        <f t="shared" si="5"/>
        <v>0</v>
      </c>
    </row>
    <row r="98" spans="1:11" x14ac:dyDescent="0.35">
      <c r="A98">
        <v>68.64</v>
      </c>
      <c r="B98">
        <v>8.91</v>
      </c>
      <c r="C98">
        <v>0.54</v>
      </c>
      <c r="D98">
        <v>6.77</v>
      </c>
      <c r="E98">
        <v>42.37</v>
      </c>
      <c r="F98" t="s">
        <v>14</v>
      </c>
      <c r="G98" t="s">
        <v>15</v>
      </c>
      <c r="H98">
        <v>1</v>
      </c>
      <c r="I98" t="str">
        <f t="shared" si="3"/>
        <v>Good Sleeper</v>
      </c>
      <c r="J98">
        <f t="shared" si="4"/>
        <v>0</v>
      </c>
      <c r="K98">
        <f t="shared" si="5"/>
        <v>1</v>
      </c>
    </row>
    <row r="99" spans="1:11" x14ac:dyDescent="0.35">
      <c r="A99">
        <v>53.21</v>
      </c>
      <c r="B99">
        <v>4.7300000000000004</v>
      </c>
      <c r="C99">
        <v>0.67</v>
      </c>
      <c r="D99">
        <v>8.06</v>
      </c>
      <c r="E99">
        <v>24.1</v>
      </c>
      <c r="F99" t="s">
        <v>11</v>
      </c>
      <c r="G99" t="s">
        <v>15</v>
      </c>
      <c r="H99">
        <v>1</v>
      </c>
      <c r="I99" t="str">
        <f t="shared" si="3"/>
        <v>Poor Sleeper</v>
      </c>
      <c r="J99">
        <f t="shared" si="4"/>
        <v>1</v>
      </c>
      <c r="K99">
        <f t="shared" si="5"/>
        <v>1</v>
      </c>
    </row>
    <row r="100" spans="1:11" x14ac:dyDescent="0.35">
      <c r="A100">
        <v>60.64</v>
      </c>
      <c r="B100">
        <v>8.4600000000000009</v>
      </c>
      <c r="C100">
        <v>1.1000000000000001</v>
      </c>
      <c r="D100">
        <v>9.7200000000000006</v>
      </c>
      <c r="E100">
        <v>39.42</v>
      </c>
      <c r="F100" t="s">
        <v>13</v>
      </c>
      <c r="G100" t="s">
        <v>15</v>
      </c>
      <c r="H100">
        <v>1</v>
      </c>
      <c r="I100" t="str">
        <f t="shared" si="3"/>
        <v>Good Sleeper</v>
      </c>
      <c r="J100">
        <f t="shared" si="4"/>
        <v>0</v>
      </c>
      <c r="K100">
        <f t="shared" si="5"/>
        <v>1</v>
      </c>
    </row>
    <row r="101" spans="1:11" x14ac:dyDescent="0.35">
      <c r="A101">
        <v>60.48</v>
      </c>
      <c r="B101">
        <v>7.67</v>
      </c>
      <c r="C101">
        <v>1.32</v>
      </c>
      <c r="D101">
        <v>6.86</v>
      </c>
      <c r="E101">
        <v>27.69</v>
      </c>
      <c r="F101" t="s">
        <v>13</v>
      </c>
      <c r="G101" t="s">
        <v>15</v>
      </c>
      <c r="H101">
        <v>1</v>
      </c>
      <c r="I101" t="str">
        <f t="shared" si="3"/>
        <v>Good Sleeper</v>
      </c>
      <c r="J101">
        <f t="shared" si="4"/>
        <v>1</v>
      </c>
      <c r="K101">
        <f t="shared" si="5"/>
        <v>1</v>
      </c>
    </row>
    <row r="102" spans="1:11" x14ac:dyDescent="0.35">
      <c r="A102">
        <v>71.56</v>
      </c>
      <c r="B102">
        <v>2.84</v>
      </c>
      <c r="C102">
        <v>3.05</v>
      </c>
      <c r="D102">
        <v>6.93</v>
      </c>
      <c r="E102">
        <v>48.72</v>
      </c>
      <c r="F102" t="s">
        <v>14</v>
      </c>
      <c r="G102" t="s">
        <v>15</v>
      </c>
      <c r="H102">
        <v>1</v>
      </c>
      <c r="I102" t="str">
        <f t="shared" si="3"/>
        <v>Poor Sleeper</v>
      </c>
      <c r="J102">
        <f t="shared" si="4"/>
        <v>0</v>
      </c>
      <c r="K102">
        <f t="shared" si="5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C24372973 Mohammed Younis</dc:creator>
  <cp:lastModifiedBy>C24372973 Mohammed Younis</cp:lastModifiedBy>
  <dcterms:created xsi:type="dcterms:W3CDTF">2025-11-26T13:58:07Z</dcterms:created>
  <dcterms:modified xsi:type="dcterms:W3CDTF">2025-11-26T17:06:36Z</dcterms:modified>
</cp:coreProperties>
</file>