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tudublin-my.sharepoint.com/personal/c24372973_mytudublin_ie/Documents/"/>
    </mc:Choice>
  </mc:AlternateContent>
  <xr:revisionPtr revIDLastSave="234" documentId="8_{55359F89-8A43-42BE-9B9A-7E5F37185BE0}" xr6:coauthVersionLast="47" xr6:coauthVersionMax="47" xr10:uidLastSave="{DEA16E93-15E5-40F9-9B88-02BCFC028883}"/>
  <bookViews>
    <workbookView xWindow="-110" yWindow="-110" windowWidth="25820" windowHeight="13900" activeTab="2" xr2:uid="{00000000-000D-0000-FFFF-FFFF00000000}"/>
  </bookViews>
  <sheets>
    <sheet name="original" sheetId="1" r:id="rId1"/>
    <sheet name="pivot+graphs" sheetId="11" r:id="rId2"/>
    <sheet name="cleaned_dataset" sheetId="4" r:id="rId3"/>
  </sheets>
  <definedNames>
    <definedName name="_xlnm._FilterDatabase" localSheetId="2" hidden="1">cleaned_dataset!$A$1:$H$149</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4" l="1"/>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2"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J3" i="4"/>
  <c r="J2"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C154" i="4"/>
  <c r="B154" i="4"/>
  <c r="A154" i="4"/>
  <c r="E154" i="4"/>
  <c r="D154" i="4"/>
  <c r="B152" i="4"/>
  <c r="C152" i="4"/>
  <c r="D152" i="4"/>
  <c r="E152" i="4"/>
  <c r="A152" i="4"/>
  <c r="C150" i="4"/>
  <c r="B150" i="4"/>
  <c r="D150" i="4"/>
  <c r="E150" i="4"/>
  <c r="A150" i="4"/>
  <c r="E148" i="4"/>
  <c r="D148" i="4"/>
  <c r="C148" i="4"/>
  <c r="B148" i="4"/>
  <c r="A14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D53147-0B0D-49C5-8B46-3D8AC7A3B4F4}"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<sst xmlns="http://schemas.openxmlformats.org/spreadsheetml/2006/main" count="741" uniqueCount="32">
  <si>
    <t>work_performance_metric1</t>
  </si>
  <si>
    <t>sleep_related_metric</t>
  </si>
  <si>
    <t>activity_metric</t>
  </si>
  <si>
    <t>screen_related_metric</t>
  </si>
  <si>
    <t>time_metric</t>
  </si>
  <si>
    <t>Level_Group</t>
  </si>
  <si>
    <t>Category_Type</t>
  </si>
  <si>
    <t>work_performance_label</t>
  </si>
  <si>
    <t>High</t>
  </si>
  <si>
    <t>Low</t>
  </si>
  <si>
    <t>Medium</t>
  </si>
  <si>
    <t>TypeA</t>
  </si>
  <si>
    <t>TypeC</t>
  </si>
  <si>
    <t>TypeB</t>
  </si>
  <si>
    <t xml:space="preserve">mean </t>
  </si>
  <si>
    <t>median</t>
  </si>
  <si>
    <t>standard deviation</t>
  </si>
  <si>
    <t>Correlation with Target feature</t>
  </si>
  <si>
    <t>Row Labels</t>
  </si>
  <si>
    <t>Grand Total</t>
  </si>
  <si>
    <t>high_efficency flag</t>
  </si>
  <si>
    <t>has_activity</t>
  </si>
  <si>
    <t>low performers</t>
  </si>
  <si>
    <t>higher performers</t>
  </si>
  <si>
    <t>no activity (0)</t>
  </si>
  <si>
    <t>some activity (1)</t>
  </si>
  <si>
    <t>Category_type</t>
  </si>
  <si>
    <t>frequency</t>
  </si>
  <si>
    <t>Count of Level_Group</t>
  </si>
  <si>
    <t>Level_group</t>
  </si>
  <si>
    <t xml:space="preserve">                   </t>
  </si>
  <si>
    <t>good_sleeper_category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</si>
</sst>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2" borderId="0" xfId="0" applyFont="1" applyFill="1"/>
    <xf numFmtId="0" fontId="1" fillId="2" borderId="2" xfId="0" applyFont="1" applyFill="1" applyBorder="1"/>
    <xf numFmtId="0" fontId="1" fillId="0" borderId="3" xfId="0" applyFont="1" applyBorder="1" applyAlignment="1">
      <alignment horizontal="center" vertical="top"/>
    </xf>
  </cellXfs>
  <cellStyles count="1">
    <cellStyle name="Normal" xfId="0" builtinId="0"/>
  </cellStyles>
  <dxfs count="3">
    <dxf>
      <numFmt numFmtId="0" formatCode="General"/>
    </dxf>
    <dxf>
      <numFmt numFmtId="0" formatCode="General"/>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'pivot+graphs'!$N$3:$N$4</c:f>
              <c:strCache>
                <c:ptCount val="2"/>
                <c:pt idx="0">
                  <c:v>low performers</c:v>
                </c:pt>
                <c:pt idx="1">
                  <c:v>0</c:v>
                </c:pt>
              </c:strCache>
            </c:strRef>
          </c:tx>
          <c:spPr>
            <a:solidFill>
              <a:schemeClr val="accent1"/>
            </a:solidFill>
            <a:ln>
              <a:noFill/>
            </a:ln>
            <a:effectLst/>
          </c:spPr>
          <c:invertIfNegative val="0"/>
          <c:cat>
            <c:strRef>
              <c:f>'pivot+graphs'!$M$5:$M$6</c:f>
              <c:strCache>
                <c:ptCount val="2"/>
                <c:pt idx="0">
                  <c:v>no activity (0)</c:v>
                </c:pt>
                <c:pt idx="1">
                  <c:v>some activity (1)</c:v>
                </c:pt>
              </c:strCache>
            </c:strRef>
          </c:cat>
          <c:val>
            <c:numRef>
              <c:f>'pivot+graphs'!$N$5:$N$6</c:f>
              <c:numCache>
                <c:formatCode>General</c:formatCode>
                <c:ptCount val="2"/>
                <c:pt idx="0">
                  <c:v>12</c:v>
                </c:pt>
                <c:pt idx="1">
                  <c:v>93</c:v>
                </c:pt>
              </c:numCache>
            </c:numRef>
          </c:val>
          <c:extLst>
            <c:ext xmlns:c16="http://schemas.microsoft.com/office/drawing/2014/chart" uri="{C3380CC4-5D6E-409C-BE32-E72D297353CC}">
              <c16:uniqueId val="{00000000-5800-4903-89EF-B4E325B310C6}"/>
            </c:ext>
          </c:extLst>
        </c:ser>
        <c:ser>
          <c:idx val="1"/>
          <c:order val="1"/>
          <c:tx>
            <c:strRef>
              <c:f>'pivot+graphs'!$O$3:$O$4</c:f>
              <c:strCache>
                <c:ptCount val="2"/>
                <c:pt idx="0">
                  <c:v>higher performers</c:v>
                </c:pt>
                <c:pt idx="1">
                  <c:v>1</c:v>
                </c:pt>
              </c:strCache>
            </c:strRef>
          </c:tx>
          <c:spPr>
            <a:solidFill>
              <a:schemeClr val="accent2"/>
            </a:solidFill>
            <a:ln>
              <a:noFill/>
            </a:ln>
            <a:effectLst/>
          </c:spPr>
          <c:invertIfNegative val="0"/>
          <c:cat>
            <c:strRef>
              <c:f>'pivot+graphs'!$M$5:$M$6</c:f>
              <c:strCache>
                <c:ptCount val="2"/>
                <c:pt idx="0">
                  <c:v>no activity (0)</c:v>
                </c:pt>
                <c:pt idx="1">
                  <c:v>some activity (1)</c:v>
                </c:pt>
              </c:strCache>
            </c:strRef>
          </c:cat>
          <c:val>
            <c:numRef>
              <c:f>'pivot+graphs'!$O$5:$O$6</c:f>
              <c:numCache>
                <c:formatCode>General</c:formatCode>
                <c:ptCount val="2"/>
                <c:pt idx="0">
                  <c:v>5</c:v>
                </c:pt>
                <c:pt idx="1">
                  <c:v>33</c:v>
                </c:pt>
              </c:numCache>
            </c:numRef>
          </c:val>
          <c:extLst>
            <c:ext xmlns:c16="http://schemas.microsoft.com/office/drawing/2014/chart" uri="{C3380CC4-5D6E-409C-BE32-E72D297353CC}">
              <c16:uniqueId val="{00000001-5800-4903-89EF-B4E325B310C6}"/>
            </c:ext>
          </c:extLst>
        </c:ser>
        <c:dLbls>
          <c:showLegendKey val="0"/>
          <c:showVal val="0"/>
          <c:showCatName val="0"/>
          <c:showSerName val="0"/>
          <c:showPercent val="0"/>
          <c:showBubbleSize val="0"/>
        </c:dLbls>
        <c:gapWidth val="219"/>
        <c:overlap val="-27"/>
        <c:axId val="1678964352"/>
        <c:axId val="1678961952"/>
      </c:barChart>
      <c:catAx>
        <c:axId val="167896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961952"/>
        <c:crosses val="autoZero"/>
        <c:auto val="1"/>
        <c:lblAlgn val="ctr"/>
        <c:lblOffset val="100"/>
        <c:noMultiLvlLbl val="0"/>
      </c:catAx>
      <c:valAx>
        <c:axId val="167896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964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a:t>
            </a:r>
            <a:r>
              <a:rPr lang="en-US" baseline="0"/>
              <a:t> of each Category_type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'pivot+graphs'!$I$13</c:f>
              <c:strCache>
                <c:ptCount val="1"/>
                <c:pt idx="0">
                  <c:v>frequency</c:v>
                </c:pt>
              </c:strCache>
            </c:strRef>
          </c:tx>
          <c:spPr>
            <a:solidFill>
              <a:schemeClr val="accent1"/>
            </a:solidFill>
            <a:ln>
              <a:noFill/>
            </a:ln>
            <a:effectLst/>
          </c:spPr>
          <c:invertIfNegative val="0"/>
          <c:cat>
            <c:strRef>
              <c:f>'pivot+graphs'!$H$14:$H$16</c:f>
              <c:strCache>
                <c:ptCount val="3"/>
                <c:pt idx="0">
                  <c:v>TypeA</c:v>
                </c:pt>
                <c:pt idx="1">
                  <c:v>TypeB</c:v>
                </c:pt>
                <c:pt idx="2">
                  <c:v>TypeC</c:v>
                </c:pt>
              </c:strCache>
            </c:strRef>
          </c:cat>
          <c:val>
            <c:numRef>
              <c:f>'pivot+graphs'!$I$14:$I$16</c:f>
              <c:numCache>
                <c:formatCode>General</c:formatCode>
                <c:ptCount val="3"/>
                <c:pt idx="0">
                  <c:v>67</c:v>
                </c:pt>
                <c:pt idx="1">
                  <c:v>48</c:v>
                </c:pt>
                <c:pt idx="2">
                  <c:v>28</c:v>
                </c:pt>
              </c:numCache>
            </c:numRef>
          </c:val>
          <c:extLst>
            <c:ext xmlns:c16="http://schemas.microsoft.com/office/drawing/2014/chart" uri="{C3380CC4-5D6E-409C-BE32-E72D297353CC}">
              <c16:uniqueId val="{00000000-FEC2-4319-8EBC-682E6BB47CB5}"/>
            </c:ext>
          </c:extLst>
        </c:ser>
        <c:dLbls>
          <c:showLegendKey val="0"/>
          <c:showVal val="0"/>
          <c:showCatName val="0"/>
          <c:showSerName val="0"/>
          <c:showPercent val="0"/>
          <c:showBubbleSize val="0"/>
        </c:dLbls>
        <c:gapWidth val="219"/>
        <c:overlap val="-27"/>
        <c:axId val="1570574864"/>
        <c:axId val="1570575344"/>
      </c:barChart>
      <c:catAx>
        <c:axId val="157057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575344"/>
        <c:crosses val="autoZero"/>
        <c:auto val="1"/>
        <c:lblAlgn val="ctr"/>
        <c:lblOffset val="100"/>
        <c:noMultiLvlLbl val="0"/>
      </c:catAx>
      <c:valAx>
        <c:axId val="157057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574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a:t>
            </a:r>
            <a:r>
              <a:rPr lang="en-US" baseline="0"/>
              <a:t> of each</a:t>
            </a:r>
            <a:r>
              <a:rPr lang="en-US"/>
              <a:t> Level_Group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'pivot+graphs'!$G$5</c:f>
              <c:strCache>
                <c:ptCount val="1"/>
                <c:pt idx="0">
                  <c:v>Count of Level_Group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EF-4D80-A6A8-E8C5066E9F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EF-4D80-A6A8-E8C5066E9F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EF-4D80-A6A8-E8C5066E9F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'pivot+graphs'!$F$6:$F$8</c:f>
              <c:strCache>
                <c:ptCount val="3"/>
                <c:pt idx="0">
                  <c:v>High</c:v>
                </c:pt>
                <c:pt idx="1">
                  <c:v>Low</c:v>
                </c:pt>
                <c:pt idx="2">
                  <c:v>Medium</c:v>
                </c:pt>
              </c:strCache>
            </c:strRef>
          </c:cat>
          <c:val>
            <c:numRef>
              <c:f>'pivot+graphs'!$G$6:$G$8</c:f>
              <c:numCache>
                <c:formatCode>General</c:formatCode>
                <c:ptCount val="3"/>
                <c:pt idx="0">
                  <c:v>46</c:v>
                </c:pt>
                <c:pt idx="1">
                  <c:v>30</c:v>
                </c:pt>
                <c:pt idx="2">
                  <c:v>67</c:v>
                </c:pt>
              </c:numCache>
            </c:numRef>
          </c:val>
          <c:extLst>
            <c:ext xmlns:c16="http://schemas.microsoft.com/office/drawing/2014/chart" uri="{C3380CC4-5D6E-409C-BE32-E72D297353CC}">
              <c16:uniqueId val="{00000000-5610-4B92-B2A1-FDE207559C8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263525</xdr:colOff>
      <xdr:row>6</xdr:row>
      <xdr:rowOff>158750</xdr:rowOff>
    </xdr:from>
    <xdr:to>
      <xdr:col>22</xdr:col>
      <xdr:colOff>568325</xdr:colOff>
      <xdr:row>21</xdr:row>
      <xdr:rowOff>139700</xdr:rowOff>
    </xdr:to>
    <xdr:graphicFrame macro="">
      <xdr:nvGraphicFramePr>
        <xdr:cNvPr id="2" name="Chart 1">
          <a:extLst>
            <a:ext uri="{FF2B5EF4-FFF2-40B4-BE49-F238E27FC236}">
              <a16:creationId xmlns:a16="http://schemas.microsoft.com/office/drawing/2014/main" id="{97910C35-8751-5DDE-9FFB-A5C7702AA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76355</xdr:colOff>
      <xdr:row>19</xdr:row>
      <xdr:rowOff>101415</xdr:rowOff>
    </xdr:from>
    <xdr:to>
      <xdr:col>9</xdr:col>
      <xdr:colOff>355446</xdr:colOff>
      <xdr:row>34</xdr:row>
      <xdr:rowOff>82365</xdr:rowOff>
    </xdr:to>
    <xdr:graphicFrame macro="">
      <xdr:nvGraphicFramePr>
        <xdr:cNvPr id="3" name="Chart 2">
          <a:extLst>
            <a:ext uri="{FF2B5EF4-FFF2-40B4-BE49-F238E27FC236}">
              <a16:creationId xmlns:a16="http://schemas.microsoft.com/office/drawing/2014/main" id="{A9D0A8A4-D858-2EA6-EFF8-655A09B04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25894</xdr:colOff>
      <xdr:row>4</xdr:row>
      <xdr:rowOff>6288</xdr:rowOff>
    </xdr:from>
    <xdr:to>
      <xdr:col>9</xdr:col>
      <xdr:colOff>307020</xdr:colOff>
      <xdr:row>18</xdr:row>
      <xdr:rowOff>160168</xdr:rowOff>
    </xdr:to>
    <xdr:graphicFrame macro="">
      <xdr:nvGraphicFramePr>
        <xdr:cNvPr id="4" name="Chart 3">
          <a:extLst>
            <a:ext uri="{FF2B5EF4-FFF2-40B4-BE49-F238E27FC236}">
              <a16:creationId xmlns:a16="http://schemas.microsoft.com/office/drawing/2014/main" id="{E6D42CE8-785A-923E-E11B-B4CC6EBB5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Younis" refreshedDate="45984.627623726854" createdVersion="8" refreshedVersion="8" minRefreshableVersion="3" recordCount="143" xr:uid="{8FC25D3C-1F86-4B02-84BA-5BCD606853D6}">
  <cacheSource type="worksheet">
    <worksheetSource name="Table1"/>
  </cacheSource>
  <cacheFields count="11">
    <cacheField name="work_performance_metric1" numFmtId="0">
      <sharedItems containsSemiMixedTypes="0" containsString="0" containsNumber="1" minValue="5" maxValue="94.47" count="141">
        <n v="65.14"/>
        <n v="34.520000000000003"/>
        <n v="9.86"/>
        <n v="77.47"/>
        <n v="94.47"/>
        <n v="65.64"/>
        <n v="67.42"/>
        <n v="68.290000000000006"/>
        <n v="31.68"/>
        <n v="56.08"/>
        <n v="19.11"/>
        <n v="22.09"/>
        <n v="62.39"/>
        <n v="52.13"/>
        <n v="57.28"/>
        <n v="50.94"/>
        <n v="44.56"/>
        <n v="72.400000000000006"/>
        <n v="29.64"/>
        <n v="51.48"/>
        <n v="47.95"/>
        <n v="26.37"/>
        <n v="39.520000000000003"/>
        <n v="52.72"/>
        <n v="72.31"/>
        <n v="40.299999999999997"/>
        <n v="43.27"/>
        <n v="36.17"/>
        <n v="11.46"/>
        <n v="58.06"/>
        <n v="16.73"/>
        <n v="18.64"/>
        <n v="47.72"/>
        <n v="56.89"/>
        <n v="28.64"/>
        <n v="59.43"/>
        <n v="63.49"/>
        <n v="87.33"/>
        <n v="38.97"/>
        <n v="49.11"/>
        <n v="80.38"/>
        <n v="59.98"/>
        <n v="39.729999999999997"/>
        <n v="37.049999999999997"/>
        <n v="22.19"/>
        <n v="23.34"/>
        <n v="13.77"/>
        <n v="63.01"/>
        <n v="35.58"/>
        <n v="50.78"/>
        <n v="43.26"/>
        <n v="58.23"/>
        <n v="22.9"/>
        <n v="52.86"/>
        <n v="61.14"/>
        <n v="21.66"/>
        <n v="12.64"/>
        <n v="77.010000000000005"/>
        <n v="69.94"/>
        <n v="62.35"/>
        <n v="50.7"/>
        <n v="54.55"/>
        <n v="45.93"/>
        <n v="55.36"/>
        <n v="37.659999999999997"/>
        <n v="55.52"/>
        <n v="42.94"/>
        <n v="37.229999999999997"/>
        <n v="84.39"/>
        <n v="47.08"/>
        <n v="15.14"/>
        <n v="43.79"/>
        <n v="20.260000000000002"/>
        <n v="20.16"/>
        <n v="34.74"/>
        <n v="34.21"/>
        <n v="44.47"/>
        <n v="44.57"/>
        <n v="40.26"/>
        <n v="65.58"/>
        <n v="43.05"/>
        <n v="20.100000000000001"/>
        <n v="64.05"/>
        <n v="45.67"/>
        <n v="11.8"/>
        <n v="40.08"/>
        <n v="19.899999999999999"/>
        <n v="52.46"/>
        <n v="90.44"/>
        <n v="16.97"/>
        <n v="45.72"/>
        <n v="39.159999999999997"/>
        <n v="26.98"/>
        <n v="5"/>
        <n v="27.71"/>
        <n v="51.03"/>
        <n v="59.8"/>
        <n v="37.99"/>
        <n v="69.52"/>
        <n v="19.809999999999999"/>
        <n v="18.03"/>
        <n v="17.04"/>
        <n v="29.1"/>
        <n v="8.3800000000000008"/>
        <n v="42.5"/>
        <n v="55.22"/>
        <n v="55.08"/>
        <n v="40.21"/>
        <n v="91.02"/>
        <n v="51.91"/>
        <n v="46.98"/>
        <n v="71.87"/>
        <n v="50.13"/>
        <n v="62.44"/>
        <n v="59.69"/>
        <n v="49.83"/>
        <n v="53.09"/>
        <n v="75.48"/>
        <n v="21.81"/>
        <n v="47.42"/>
        <n v="70.400000000000006"/>
        <n v="48.12"/>
        <n v="28.67"/>
        <n v="82.53"/>
        <n v="51.76"/>
        <n v="68.64"/>
        <n v="53.21"/>
        <n v="60.64"/>
        <n v="60.48"/>
        <n v="71.56"/>
        <n v="22.59"/>
        <n v="46.32"/>
        <n v="23.89"/>
        <n v="42.42"/>
        <n v="73.02"/>
        <n v="71.23"/>
        <n v="51.97"/>
        <n v="73.84"/>
        <n v="74.12"/>
        <n v="38.69"/>
        <n v="73.11"/>
      </sharedItems>
    </cacheField>
    <cacheField name="sleep_related_metric" numFmtId="0">
      <sharedItems containsSemiMixedTypes="0" containsString="0" containsNumber="1" minValue="1" maxValue="11.19"/>
    </cacheField>
    <cacheField name="activity_metric" numFmtId="0">
      <sharedItems containsSemiMixedTypes="0" containsString="0" containsNumber="1" minValue="0" maxValue="9.5500000000000007"/>
    </cacheField>
    <cacheField name="screen_related_metric" numFmtId="0">
      <sharedItems containsSemiMixedTypes="0" containsString="0" containsNumber="1" minValue="1" maxValue="13.74"/>
    </cacheField>
    <cacheField name="time_metric" numFmtId="0">
      <sharedItems containsSemiMixedTypes="0" containsString="0" containsNumber="1" minValue="0" maxValue="65.13"/>
    </cacheField>
    <cacheField name="Level_Group" numFmtId="0">
      <sharedItems count="3">
        <s v="High"/>
        <s v="Low"/>
        <s v="Medium"/>
      </sharedItems>
    </cacheField>
    <cacheField name="Category_Type" numFmtId="0">
      <sharedItems count="3">
        <s v="TypeA"/>
        <s v="TypeB"/>
        <s v="TypeC"/>
      </sharedItems>
    </cacheField>
    <cacheField name="work_performance_label" numFmtId="0">
      <sharedItems containsSemiMixedTypes="0" containsString="0" containsNumber="1" containsInteger="1" minValue="0" maxValue="1" count="2">
        <n v="0"/>
        <n v="1"/>
      </sharedItems>
    </cacheField>
    <cacheField name="sleep_quality" numFmtId="0">
      <sharedItems/>
    </cacheField>
    <cacheField name="high_efficency flag" numFmtId="0">
      <sharedItems containsSemiMixedTypes="0" containsString="0" containsNumber="1" containsInteger="1" minValue="0" maxValue="1"/>
    </cacheField>
    <cacheField name="has_activity"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
  <r>
    <x v="0"/>
    <n v="3.98"/>
    <n v="0"/>
    <n v="3.26"/>
    <n v="26.47"/>
    <x v="0"/>
    <x v="0"/>
    <x v="0"/>
    <s v="Poor Sleeper"/>
    <n v="1"/>
    <x v="0"/>
  </r>
  <r>
    <x v="1"/>
    <n v="2.8"/>
    <n v="0"/>
    <n v="8.9700000000000006"/>
    <n v="45.25"/>
    <x v="1"/>
    <x v="0"/>
    <x v="0"/>
    <s v="Poor Sleeper"/>
    <n v="0"/>
    <x v="0"/>
  </r>
  <r>
    <x v="2"/>
    <n v="6.45"/>
    <n v="0"/>
    <n v="4"/>
    <n v="38.28"/>
    <x v="2"/>
    <x v="0"/>
    <x v="0"/>
    <s v=" Good Sleep"/>
    <n v="0"/>
    <x v="0"/>
  </r>
  <r>
    <x v="3"/>
    <n v="6.97"/>
    <n v="0"/>
    <n v="7"/>
    <n v="40.82"/>
    <x v="2"/>
    <x v="0"/>
    <x v="0"/>
    <s v=" Good Sleep"/>
    <n v="0"/>
    <x v="0"/>
  </r>
  <r>
    <x v="4"/>
    <n v="2.84"/>
    <n v="0"/>
    <n v="9.01"/>
    <n v="7.35"/>
    <x v="2"/>
    <x v="0"/>
    <x v="0"/>
    <s v="Poor Sleeper"/>
    <n v="1"/>
    <x v="0"/>
  </r>
  <r>
    <x v="5"/>
    <n v="5.28"/>
    <n v="0.77"/>
    <n v="6.16"/>
    <n v="57.82"/>
    <x v="0"/>
    <x v="0"/>
    <x v="0"/>
    <s v="Poor Sleeper"/>
    <n v="0"/>
    <x v="1"/>
  </r>
  <r>
    <x v="6"/>
    <n v="7.14"/>
    <n v="0.81"/>
    <n v="6.85"/>
    <n v="23.09"/>
    <x v="2"/>
    <x v="0"/>
    <x v="0"/>
    <s v=" Good Sleep"/>
    <n v="1"/>
    <x v="1"/>
  </r>
  <r>
    <x v="7"/>
    <n v="10.51"/>
    <n v="0.84"/>
    <n v="10.52"/>
    <n v="21.57"/>
    <x v="0"/>
    <x v="0"/>
    <x v="0"/>
    <s v=" Good Sleep"/>
    <n v="1"/>
    <x v="1"/>
  </r>
  <r>
    <x v="8"/>
    <n v="4.7300000000000004"/>
    <n v="1.37"/>
    <n v="4.46"/>
    <n v="36.06"/>
    <x v="1"/>
    <x v="0"/>
    <x v="0"/>
    <s v="Poor Sleeper"/>
    <n v="0"/>
    <x v="1"/>
  </r>
  <r>
    <x v="9"/>
    <n v="6.03"/>
    <n v="1.37"/>
    <n v="6.87"/>
    <n v="45.19"/>
    <x v="2"/>
    <x v="0"/>
    <x v="0"/>
    <s v=" Good Sleep"/>
    <n v="0"/>
    <x v="1"/>
  </r>
  <r>
    <x v="10"/>
    <n v="2.39"/>
    <n v="1.49"/>
    <n v="5.94"/>
    <n v="18.559999999999999"/>
    <x v="2"/>
    <x v="0"/>
    <x v="0"/>
    <s v="Poor Sleeper"/>
    <n v="0"/>
    <x v="1"/>
  </r>
  <r>
    <x v="11"/>
    <n v="8.2200000000000006"/>
    <n v="1.65"/>
    <n v="8.76"/>
    <n v="23.13"/>
    <x v="0"/>
    <x v="0"/>
    <x v="0"/>
    <s v=" Good Sleep"/>
    <n v="0"/>
    <x v="1"/>
  </r>
  <r>
    <x v="12"/>
    <n v="6.36"/>
    <n v="1.65"/>
    <n v="7.52"/>
    <n v="13.41"/>
    <x v="2"/>
    <x v="0"/>
    <x v="0"/>
    <s v=" Good Sleep"/>
    <n v="1"/>
    <x v="1"/>
  </r>
  <r>
    <x v="13"/>
    <n v="2.94"/>
    <n v="1.71"/>
    <n v="5.66"/>
    <n v="31.1"/>
    <x v="2"/>
    <x v="0"/>
    <x v="0"/>
    <s v="Poor Sleeper"/>
    <n v="0"/>
    <x v="1"/>
  </r>
  <r>
    <x v="14"/>
    <n v="5.93"/>
    <n v="2.2000000000000002"/>
    <n v="8.16"/>
    <n v="29.72"/>
    <x v="1"/>
    <x v="0"/>
    <x v="0"/>
    <s v="Poor Sleeper"/>
    <n v="1"/>
    <x v="1"/>
  </r>
  <r>
    <x v="15"/>
    <n v="10.3"/>
    <n v="2.21"/>
    <n v="5.22"/>
    <n v="13.84"/>
    <x v="0"/>
    <x v="0"/>
    <x v="0"/>
    <s v=" Good Sleep"/>
    <n v="1"/>
    <x v="1"/>
  </r>
  <r>
    <x v="16"/>
    <n v="5.13"/>
    <n v="2.2400000000000002"/>
    <n v="9.08"/>
    <n v="40.24"/>
    <x v="2"/>
    <x v="0"/>
    <x v="0"/>
    <s v="Poor Sleeper"/>
    <n v="0"/>
    <x v="1"/>
  </r>
  <r>
    <x v="17"/>
    <n v="8.51"/>
    <n v="2.31"/>
    <n v="6.12"/>
    <n v="52.28"/>
    <x v="1"/>
    <x v="0"/>
    <x v="0"/>
    <s v=" Good Sleep"/>
    <n v="0"/>
    <x v="1"/>
  </r>
  <r>
    <x v="18"/>
    <n v="6.93"/>
    <n v="2.5499999999999998"/>
    <n v="6.85"/>
    <n v="25.74"/>
    <x v="2"/>
    <x v="0"/>
    <x v="0"/>
    <s v=" Good Sleep"/>
    <n v="0"/>
    <x v="1"/>
  </r>
  <r>
    <x v="19"/>
    <n v="5.59"/>
    <n v="2.57"/>
    <n v="8.99"/>
    <n v="43.37"/>
    <x v="0"/>
    <x v="0"/>
    <x v="0"/>
    <s v="Poor Sleeper"/>
    <n v="0"/>
    <x v="1"/>
  </r>
  <r>
    <x v="20"/>
    <n v="6.55"/>
    <n v="2.75"/>
    <n v="1"/>
    <n v="47.22"/>
    <x v="2"/>
    <x v="0"/>
    <x v="0"/>
    <s v=" Good Sleep"/>
    <n v="0"/>
    <x v="1"/>
  </r>
  <r>
    <x v="21"/>
    <n v="4.26"/>
    <n v="2.82"/>
    <n v="8.93"/>
    <n v="40.119999999999997"/>
    <x v="0"/>
    <x v="0"/>
    <x v="0"/>
    <s v="Poor Sleeper"/>
    <n v="0"/>
    <x v="1"/>
  </r>
  <r>
    <x v="22"/>
    <n v="3.64"/>
    <n v="2.96"/>
    <n v="5.3"/>
    <n v="22.91"/>
    <x v="2"/>
    <x v="0"/>
    <x v="0"/>
    <s v="Poor Sleeper"/>
    <n v="0"/>
    <x v="1"/>
  </r>
  <r>
    <x v="23"/>
    <n v="3.59"/>
    <n v="3.17"/>
    <n v="7.37"/>
    <n v="49.28"/>
    <x v="2"/>
    <x v="0"/>
    <x v="0"/>
    <s v="Poor Sleeper"/>
    <n v="0"/>
    <x v="1"/>
  </r>
  <r>
    <x v="24"/>
    <n v="6.35"/>
    <n v="3.18"/>
    <n v="7.15"/>
    <n v="18.829999999999998"/>
    <x v="0"/>
    <x v="0"/>
    <x v="0"/>
    <s v=" Good Sleep"/>
    <n v="1"/>
    <x v="1"/>
  </r>
  <r>
    <x v="25"/>
    <n v="7.1"/>
    <n v="3.31"/>
    <n v="10.51"/>
    <n v="50.39"/>
    <x v="2"/>
    <x v="0"/>
    <x v="0"/>
    <s v=" Good Sleep"/>
    <n v="0"/>
    <x v="1"/>
  </r>
  <r>
    <x v="26"/>
    <n v="4.28"/>
    <n v="3.58"/>
    <n v="7.26"/>
    <n v="47.28"/>
    <x v="1"/>
    <x v="0"/>
    <x v="0"/>
    <s v="Poor Sleeper"/>
    <n v="0"/>
    <x v="1"/>
  </r>
  <r>
    <x v="27"/>
    <n v="8.26"/>
    <n v="3.85"/>
    <n v="11.84"/>
    <n v="44.88"/>
    <x v="2"/>
    <x v="0"/>
    <x v="0"/>
    <s v=" Good Sleep"/>
    <n v="0"/>
    <x v="1"/>
  </r>
  <r>
    <x v="28"/>
    <n v="3.12"/>
    <n v="4.1399999999999997"/>
    <n v="9.4600000000000009"/>
    <n v="16.04"/>
    <x v="2"/>
    <x v="0"/>
    <x v="0"/>
    <s v="Poor Sleeper"/>
    <n v="0"/>
    <x v="1"/>
  </r>
  <r>
    <x v="29"/>
    <n v="5.23"/>
    <n v="4.16"/>
    <n v="2.95"/>
    <n v="32.51"/>
    <x v="0"/>
    <x v="0"/>
    <x v="0"/>
    <s v="Poor Sleeper"/>
    <n v="0"/>
    <x v="1"/>
  </r>
  <r>
    <x v="30"/>
    <n v="7.5"/>
    <n v="4.17"/>
    <n v="7.76"/>
    <n v="37.450000000000003"/>
    <x v="0"/>
    <x v="0"/>
    <x v="0"/>
    <s v=" Good Sleep"/>
    <n v="0"/>
    <x v="1"/>
  </r>
  <r>
    <x v="31"/>
    <n v="10.74"/>
    <n v="4.1900000000000004"/>
    <n v="6.04"/>
    <n v="25.93"/>
    <x v="1"/>
    <x v="0"/>
    <x v="0"/>
    <s v=" Good Sleep"/>
    <n v="0"/>
    <x v="1"/>
  </r>
  <r>
    <x v="32"/>
    <n v="7.48"/>
    <n v="4.1900000000000004"/>
    <n v="4.83"/>
    <n v="65.13"/>
    <x v="1"/>
    <x v="0"/>
    <x v="0"/>
    <s v=" Good Sleep"/>
    <n v="0"/>
    <x v="1"/>
  </r>
  <r>
    <x v="33"/>
    <n v="5.86"/>
    <n v="4.68"/>
    <n v="6.57"/>
    <n v="30.18"/>
    <x v="0"/>
    <x v="0"/>
    <x v="0"/>
    <s v="Poor Sleeper"/>
    <n v="0"/>
    <x v="1"/>
  </r>
  <r>
    <x v="34"/>
    <n v="7.05"/>
    <n v="4.7699999999999996"/>
    <n v="9.5"/>
    <n v="23.07"/>
    <x v="1"/>
    <x v="0"/>
    <x v="0"/>
    <s v=" Good Sleep"/>
    <n v="0"/>
    <x v="1"/>
  </r>
  <r>
    <x v="35"/>
    <n v="6.24"/>
    <n v="4.8099999999999996"/>
    <n v="5.13"/>
    <n v="20.95"/>
    <x v="0"/>
    <x v="0"/>
    <x v="0"/>
    <s v=" Good Sleep"/>
    <n v="1"/>
    <x v="1"/>
  </r>
  <r>
    <x v="36"/>
    <n v="7.2"/>
    <n v="4.92"/>
    <n v="5.98"/>
    <n v="28"/>
    <x v="2"/>
    <x v="0"/>
    <x v="0"/>
    <s v=" Good Sleep"/>
    <n v="1"/>
    <x v="1"/>
  </r>
  <r>
    <x v="37"/>
    <n v="6.71"/>
    <n v="4.99"/>
    <n v="8.58"/>
    <n v="25.58"/>
    <x v="2"/>
    <x v="0"/>
    <x v="0"/>
    <s v=" Good Sleep"/>
    <n v="1"/>
    <x v="1"/>
  </r>
  <r>
    <x v="38"/>
    <n v="11.19"/>
    <n v="5.03"/>
    <n v="5.24"/>
    <n v="53.66"/>
    <x v="2"/>
    <x v="0"/>
    <x v="0"/>
    <s v=" Good Sleep"/>
    <n v="0"/>
    <x v="1"/>
  </r>
  <r>
    <x v="39"/>
    <n v="5.3"/>
    <n v="5.16"/>
    <n v="9"/>
    <n v="20.48"/>
    <x v="0"/>
    <x v="0"/>
    <x v="0"/>
    <s v="Poor Sleeper"/>
    <n v="0"/>
    <x v="1"/>
  </r>
  <r>
    <x v="40"/>
    <n v="5.14"/>
    <n v="5.39"/>
    <n v="6.11"/>
    <n v="45.57"/>
    <x v="0"/>
    <x v="0"/>
    <x v="0"/>
    <s v="Poor Sleeper"/>
    <n v="0"/>
    <x v="1"/>
  </r>
  <r>
    <x v="41"/>
    <n v="3.37"/>
    <n v="5.71"/>
    <n v="2.85"/>
    <n v="28.14"/>
    <x v="2"/>
    <x v="0"/>
    <x v="0"/>
    <s v="Poor Sleeper"/>
    <n v="1"/>
    <x v="1"/>
  </r>
  <r>
    <x v="42"/>
    <n v="8.1199999999999992"/>
    <n v="5.79"/>
    <n v="4.9400000000000004"/>
    <n v="42.86"/>
    <x v="2"/>
    <x v="0"/>
    <x v="0"/>
    <s v=" Good Sleep"/>
    <n v="0"/>
    <x v="1"/>
  </r>
  <r>
    <x v="43"/>
    <n v="2.15"/>
    <n v="6.47"/>
    <n v="7.86"/>
    <n v="46.7"/>
    <x v="2"/>
    <x v="0"/>
    <x v="0"/>
    <s v="Poor Sleeper"/>
    <n v="0"/>
    <x v="1"/>
  </r>
  <r>
    <x v="44"/>
    <n v="8.75"/>
    <n v="6.9"/>
    <n v="6.46"/>
    <n v="43.92"/>
    <x v="1"/>
    <x v="0"/>
    <x v="0"/>
    <s v=" Good Sleep"/>
    <n v="0"/>
    <x v="1"/>
  </r>
  <r>
    <x v="45"/>
    <n v="6.93"/>
    <n v="7.61"/>
    <n v="5.03"/>
    <n v="20.99"/>
    <x v="2"/>
    <x v="0"/>
    <x v="0"/>
    <s v=" Good Sleep"/>
    <n v="0"/>
    <x v="1"/>
  </r>
  <r>
    <x v="46"/>
    <n v="4.37"/>
    <n v="0"/>
    <n v="1"/>
    <n v="24.94"/>
    <x v="1"/>
    <x v="1"/>
    <x v="0"/>
    <s v="Poor Sleeper"/>
    <n v="0"/>
    <x v="0"/>
  </r>
  <r>
    <x v="47"/>
    <n v="8.18"/>
    <n v="0"/>
    <n v="6.27"/>
    <n v="45.12"/>
    <x v="1"/>
    <x v="1"/>
    <x v="0"/>
    <s v=" Good Sleep"/>
    <n v="0"/>
    <x v="0"/>
  </r>
  <r>
    <x v="48"/>
    <n v="7.97"/>
    <n v="0"/>
    <n v="4.45"/>
    <n v="10.029999999999999"/>
    <x v="2"/>
    <x v="1"/>
    <x v="0"/>
    <s v=" Good Sleep"/>
    <n v="0"/>
    <x v="0"/>
  </r>
  <r>
    <x v="49"/>
    <n v="8.8800000000000008"/>
    <n v="0"/>
    <n v="6.98"/>
    <n v="13.66"/>
    <x v="2"/>
    <x v="1"/>
    <x v="0"/>
    <s v=" Good Sleep"/>
    <n v="1"/>
    <x v="0"/>
  </r>
  <r>
    <x v="50"/>
    <n v="4.41"/>
    <n v="0.91"/>
    <n v="8.16"/>
    <n v="42.47"/>
    <x v="2"/>
    <x v="1"/>
    <x v="0"/>
    <s v="Poor Sleeper"/>
    <n v="0"/>
    <x v="1"/>
  </r>
  <r>
    <x v="51"/>
    <n v="9.7899999999999991"/>
    <n v="0.91"/>
    <n v="4.2"/>
    <n v="41.68"/>
    <x v="2"/>
    <x v="1"/>
    <x v="0"/>
    <s v=" Good Sleep"/>
    <n v="0"/>
    <x v="1"/>
  </r>
  <r>
    <x v="52"/>
    <n v="3.85"/>
    <n v="1.24"/>
    <n v="7.79"/>
    <n v="21.57"/>
    <x v="0"/>
    <x v="1"/>
    <x v="0"/>
    <s v="Poor Sleeper"/>
    <n v="0"/>
    <x v="1"/>
  </r>
  <r>
    <x v="53"/>
    <n v="7.5"/>
    <n v="1.26"/>
    <n v="6.94"/>
    <n v="20.190000000000001"/>
    <x v="1"/>
    <x v="1"/>
    <x v="0"/>
    <s v=" Good Sleep"/>
    <n v="1"/>
    <x v="1"/>
  </r>
  <r>
    <x v="54"/>
    <n v="7.09"/>
    <n v="1.37"/>
    <n v="8.2799999999999994"/>
    <n v="49.82"/>
    <x v="0"/>
    <x v="1"/>
    <x v="0"/>
    <s v=" Good Sleep"/>
    <n v="0"/>
    <x v="1"/>
  </r>
  <r>
    <x v="55"/>
    <n v="5.78"/>
    <n v="1.68"/>
    <n v="8.98"/>
    <n v="2.84"/>
    <x v="0"/>
    <x v="1"/>
    <x v="0"/>
    <s v="Poor Sleeper"/>
    <n v="0"/>
    <x v="1"/>
  </r>
  <r>
    <x v="56"/>
    <n v="6.16"/>
    <n v="2.06"/>
    <n v="7.5"/>
    <n v="11.69"/>
    <x v="2"/>
    <x v="1"/>
    <x v="0"/>
    <s v=" Good Sleep"/>
    <n v="0"/>
    <x v="1"/>
  </r>
  <r>
    <x v="57"/>
    <n v="9.83"/>
    <n v="2.33"/>
    <n v="8.85"/>
    <n v="17.2"/>
    <x v="2"/>
    <x v="1"/>
    <x v="0"/>
    <s v=" Good Sleep"/>
    <n v="1"/>
    <x v="1"/>
  </r>
  <r>
    <x v="58"/>
    <n v="7.47"/>
    <n v="2.4700000000000002"/>
    <n v="5.59"/>
    <n v="23.59"/>
    <x v="2"/>
    <x v="1"/>
    <x v="0"/>
    <s v=" Good Sleep"/>
    <n v="1"/>
    <x v="1"/>
  </r>
  <r>
    <x v="59"/>
    <n v="6.51"/>
    <n v="2.5"/>
    <n v="7.93"/>
    <n v="3.68"/>
    <x v="2"/>
    <x v="1"/>
    <x v="0"/>
    <s v=" Good Sleep"/>
    <n v="1"/>
    <x v="1"/>
  </r>
  <r>
    <x v="60"/>
    <n v="7.19"/>
    <n v="3.11"/>
    <n v="4.55"/>
    <n v="51.35"/>
    <x v="2"/>
    <x v="1"/>
    <x v="0"/>
    <s v=" Good Sleep"/>
    <n v="0"/>
    <x v="1"/>
  </r>
  <r>
    <x v="61"/>
    <n v="7.59"/>
    <n v="3.13"/>
    <n v="2.4"/>
    <n v="26.51"/>
    <x v="2"/>
    <x v="1"/>
    <x v="0"/>
    <s v=" Good Sleep"/>
    <n v="1"/>
    <x v="1"/>
  </r>
  <r>
    <x v="62"/>
    <n v="7.15"/>
    <n v="3.14"/>
    <n v="8.73"/>
    <n v="25.42"/>
    <x v="2"/>
    <x v="1"/>
    <x v="0"/>
    <s v=" Good Sleep"/>
    <n v="0"/>
    <x v="1"/>
  </r>
  <r>
    <x v="63"/>
    <n v="7.33"/>
    <n v="3.15"/>
    <n v="6.79"/>
    <n v="34.119999999999997"/>
    <x v="1"/>
    <x v="1"/>
    <x v="0"/>
    <s v=" Good Sleep"/>
    <n v="0"/>
    <x v="1"/>
  </r>
  <r>
    <x v="64"/>
    <n v="4.79"/>
    <n v="3.32"/>
    <n v="8.5500000000000007"/>
    <n v="0"/>
    <x v="0"/>
    <x v="1"/>
    <x v="0"/>
    <s v="Poor Sleeper"/>
    <n v="0"/>
    <x v="1"/>
  </r>
  <r>
    <x v="65"/>
    <n v="6.33"/>
    <n v="3.44"/>
    <n v="5.71"/>
    <n v="17.7"/>
    <x v="2"/>
    <x v="1"/>
    <x v="0"/>
    <s v=" Good Sleep"/>
    <n v="1"/>
    <x v="1"/>
  </r>
  <r>
    <x v="66"/>
    <n v="8.43"/>
    <n v="3.65"/>
    <n v="6.6"/>
    <n v="37.130000000000003"/>
    <x v="2"/>
    <x v="1"/>
    <x v="0"/>
    <s v=" Good Sleep"/>
    <n v="0"/>
    <x v="1"/>
  </r>
  <r>
    <x v="67"/>
    <n v="8.33"/>
    <n v="3.69"/>
    <n v="7.82"/>
    <n v="28.33"/>
    <x v="0"/>
    <x v="1"/>
    <x v="0"/>
    <s v=" Good Sleep"/>
    <n v="0"/>
    <x v="1"/>
  </r>
  <r>
    <x v="68"/>
    <n v="7.09"/>
    <n v="3.71"/>
    <n v="6.15"/>
    <n v="41.17"/>
    <x v="2"/>
    <x v="1"/>
    <x v="0"/>
    <s v=" Good Sleep"/>
    <n v="0"/>
    <x v="1"/>
  </r>
  <r>
    <x v="69"/>
    <n v="5.1100000000000003"/>
    <n v="3.79"/>
    <n v="5.0999999999999996"/>
    <n v="17.670000000000002"/>
    <x v="0"/>
    <x v="1"/>
    <x v="0"/>
    <s v="Poor Sleeper"/>
    <n v="0"/>
    <x v="1"/>
  </r>
  <r>
    <x v="70"/>
    <n v="5.24"/>
    <n v="3.82"/>
    <n v="7.79"/>
    <n v="3.24"/>
    <x v="2"/>
    <x v="1"/>
    <x v="0"/>
    <s v="Poor Sleeper"/>
    <n v="0"/>
    <x v="1"/>
  </r>
  <r>
    <x v="71"/>
    <n v="5.64"/>
    <n v="3.9"/>
    <n v="5.26"/>
    <n v="45.06"/>
    <x v="1"/>
    <x v="1"/>
    <x v="0"/>
    <s v="Poor Sleeper"/>
    <n v="0"/>
    <x v="1"/>
  </r>
  <r>
    <x v="72"/>
    <n v="3.52"/>
    <n v="4.0599999999999996"/>
    <n v="7.46"/>
    <n v="22.17"/>
    <x v="2"/>
    <x v="1"/>
    <x v="0"/>
    <s v="Poor Sleeper"/>
    <n v="0"/>
    <x v="1"/>
  </r>
  <r>
    <x v="73"/>
    <n v="8.8000000000000007"/>
    <n v="4.1500000000000004"/>
    <n v="2.98"/>
    <n v="30.4"/>
    <x v="1"/>
    <x v="1"/>
    <x v="0"/>
    <s v=" Good Sleep"/>
    <n v="0"/>
    <x v="1"/>
  </r>
  <r>
    <x v="74"/>
    <n v="7.58"/>
    <n v="4.25"/>
    <n v="4.71"/>
    <n v="17.010000000000002"/>
    <x v="0"/>
    <x v="1"/>
    <x v="0"/>
    <s v=" Good Sleep"/>
    <n v="0"/>
    <x v="1"/>
  </r>
  <r>
    <x v="75"/>
    <n v="5.83"/>
    <n v="4.2699999999999996"/>
    <n v="9.0299999999999994"/>
    <n v="36.35"/>
    <x v="2"/>
    <x v="1"/>
    <x v="0"/>
    <s v="Poor Sleeper"/>
    <n v="0"/>
    <x v="1"/>
  </r>
  <r>
    <x v="76"/>
    <n v="4.16"/>
    <n v="4.29"/>
    <n v="8.34"/>
    <n v="9.41"/>
    <x v="2"/>
    <x v="1"/>
    <x v="0"/>
    <s v="Poor Sleeper"/>
    <n v="0"/>
    <x v="1"/>
  </r>
  <r>
    <x v="77"/>
    <n v="5.98"/>
    <n v="4.5199999999999996"/>
    <n v="6.28"/>
    <n v="41.52"/>
    <x v="0"/>
    <x v="1"/>
    <x v="0"/>
    <s v="Poor Sleeper"/>
    <n v="0"/>
    <x v="1"/>
  </r>
  <r>
    <x v="78"/>
    <n v="8.36"/>
    <n v="4.59"/>
    <n v="7.18"/>
    <n v="31.42"/>
    <x v="1"/>
    <x v="1"/>
    <x v="0"/>
    <s v=" Good Sleep"/>
    <n v="0"/>
    <x v="1"/>
  </r>
  <r>
    <x v="79"/>
    <n v="5.0599999999999996"/>
    <n v="4.6399999999999997"/>
    <n v="4.07"/>
    <n v="0"/>
    <x v="2"/>
    <x v="1"/>
    <x v="0"/>
    <s v="Poor Sleeper"/>
    <n v="1"/>
    <x v="1"/>
  </r>
  <r>
    <x v="80"/>
    <n v="6.41"/>
    <n v="4.7300000000000004"/>
    <n v="9.7200000000000006"/>
    <n v="32.43"/>
    <x v="0"/>
    <x v="1"/>
    <x v="0"/>
    <s v=" Good Sleep"/>
    <n v="0"/>
    <x v="1"/>
  </r>
  <r>
    <x v="81"/>
    <n v="6.41"/>
    <n v="4.79"/>
    <n v="10.97"/>
    <n v="24.25"/>
    <x v="0"/>
    <x v="1"/>
    <x v="0"/>
    <s v=" Good Sleep"/>
    <n v="0"/>
    <x v="1"/>
  </r>
  <r>
    <x v="82"/>
    <n v="5.41"/>
    <n v="4.8499999999999996"/>
    <n v="1.76"/>
    <n v="22.41"/>
    <x v="2"/>
    <x v="1"/>
    <x v="0"/>
    <s v="Poor Sleeper"/>
    <n v="1"/>
    <x v="1"/>
  </r>
  <r>
    <x v="83"/>
    <n v="8.33"/>
    <n v="5.49"/>
    <n v="7.71"/>
    <n v="7.38"/>
    <x v="0"/>
    <x v="1"/>
    <x v="0"/>
    <s v=" Good Sleep"/>
    <n v="0"/>
    <x v="1"/>
  </r>
  <r>
    <x v="84"/>
    <n v="9.2899999999999991"/>
    <n v="7.44"/>
    <n v="8.74"/>
    <n v="1.77"/>
    <x v="2"/>
    <x v="1"/>
    <x v="0"/>
    <s v=" Good Sleep"/>
    <n v="0"/>
    <x v="1"/>
  </r>
  <r>
    <x v="85"/>
    <n v="6.6"/>
    <n v="0"/>
    <n v="6.28"/>
    <n v="12.6"/>
    <x v="0"/>
    <x v="2"/>
    <x v="0"/>
    <s v=" Good Sleep"/>
    <n v="0"/>
    <x v="0"/>
  </r>
  <r>
    <x v="86"/>
    <n v="10.51"/>
    <n v="0"/>
    <n v="13.74"/>
    <n v="35.15"/>
    <x v="1"/>
    <x v="2"/>
    <x v="0"/>
    <s v=" Good Sleep"/>
    <n v="0"/>
    <x v="0"/>
  </r>
  <r>
    <x v="87"/>
    <n v="5.0999999999999996"/>
    <n v="0"/>
    <n v="4.1500000000000004"/>
    <n v="43.53"/>
    <x v="2"/>
    <x v="2"/>
    <x v="0"/>
    <s v="Poor Sleeper"/>
    <n v="0"/>
    <x v="0"/>
  </r>
  <r>
    <x v="88"/>
    <n v="7.11"/>
    <n v="0.81"/>
    <n v="10.16"/>
    <n v="0"/>
    <x v="2"/>
    <x v="2"/>
    <x v="0"/>
    <s v=" Good Sleep"/>
    <n v="1"/>
    <x v="1"/>
  </r>
  <r>
    <x v="89"/>
    <n v="7.93"/>
    <n v="1.1599999999999999"/>
    <n v="10.17"/>
    <n v="23.39"/>
    <x v="2"/>
    <x v="2"/>
    <x v="0"/>
    <s v=" Good Sleep"/>
    <n v="0"/>
    <x v="1"/>
  </r>
  <r>
    <x v="90"/>
    <n v="7.37"/>
    <n v="1.17"/>
    <n v="3.34"/>
    <n v="27.55"/>
    <x v="0"/>
    <x v="2"/>
    <x v="0"/>
    <s v=" Good Sleep"/>
    <n v="0"/>
    <x v="1"/>
  </r>
  <r>
    <x v="91"/>
    <n v="6.27"/>
    <n v="1.27"/>
    <n v="6.12"/>
    <n v="46.35"/>
    <x v="2"/>
    <x v="2"/>
    <x v="0"/>
    <s v=" Good Sleep"/>
    <n v="0"/>
    <x v="1"/>
  </r>
  <r>
    <x v="92"/>
    <n v="4.63"/>
    <n v="1.41"/>
    <n v="6.03"/>
    <n v="2.61"/>
    <x v="2"/>
    <x v="2"/>
    <x v="0"/>
    <s v="Poor Sleeper"/>
    <n v="0"/>
    <x v="1"/>
  </r>
  <r>
    <x v="93"/>
    <n v="2.94"/>
    <n v="1.52"/>
    <n v="5.31"/>
    <n v="38.880000000000003"/>
    <x v="2"/>
    <x v="2"/>
    <x v="0"/>
    <s v="Poor Sleeper"/>
    <n v="0"/>
    <x v="1"/>
  </r>
  <r>
    <x v="94"/>
    <n v="4.03"/>
    <n v="1.56"/>
    <n v="7.32"/>
    <n v="32.369999999999997"/>
    <x v="1"/>
    <x v="2"/>
    <x v="0"/>
    <s v="Poor Sleeper"/>
    <n v="0"/>
    <x v="1"/>
  </r>
  <r>
    <x v="95"/>
    <n v="4.87"/>
    <n v="1.74"/>
    <n v="6.2"/>
    <n v="34.32"/>
    <x v="2"/>
    <x v="2"/>
    <x v="0"/>
    <s v="Poor Sleeper"/>
    <n v="0"/>
    <x v="1"/>
  </r>
  <r>
    <x v="96"/>
    <n v="9.9"/>
    <n v="1.88"/>
    <n v="10.69"/>
    <n v="37.9"/>
    <x v="0"/>
    <x v="2"/>
    <x v="0"/>
    <s v=" Good Sleep"/>
    <n v="0"/>
    <x v="1"/>
  </r>
  <r>
    <x v="97"/>
    <n v="2.0099999999999998"/>
    <n v="2.4500000000000002"/>
    <n v="8.93"/>
    <n v="28.24"/>
    <x v="1"/>
    <x v="2"/>
    <x v="0"/>
    <s v="Poor Sleeper"/>
    <n v="0"/>
    <x v="1"/>
  </r>
  <r>
    <x v="98"/>
    <n v="4.09"/>
    <n v="2.48"/>
    <n v="1"/>
    <n v="23.61"/>
    <x v="0"/>
    <x v="2"/>
    <x v="0"/>
    <s v="Poor Sleeper"/>
    <n v="1"/>
    <x v="1"/>
  </r>
  <r>
    <x v="99"/>
    <n v="4.1100000000000003"/>
    <n v="2.7"/>
    <n v="9.6199999999999992"/>
    <n v="38.36"/>
    <x v="1"/>
    <x v="2"/>
    <x v="0"/>
    <s v="Poor Sleeper"/>
    <n v="0"/>
    <x v="1"/>
  </r>
  <r>
    <x v="100"/>
    <n v="6.53"/>
    <n v="4.0199999999999996"/>
    <n v="7.77"/>
    <n v="27.95"/>
    <x v="2"/>
    <x v="2"/>
    <x v="0"/>
    <s v=" Good Sleep"/>
    <n v="0"/>
    <x v="1"/>
  </r>
  <r>
    <x v="101"/>
    <n v="5.34"/>
    <n v="4.24"/>
    <n v="6.97"/>
    <n v="2.88"/>
    <x v="0"/>
    <x v="2"/>
    <x v="0"/>
    <s v="Poor Sleeper"/>
    <n v="0"/>
    <x v="1"/>
  </r>
  <r>
    <x v="102"/>
    <n v="6.66"/>
    <n v="5.31"/>
    <n v="5.19"/>
    <n v="45.51"/>
    <x v="0"/>
    <x v="2"/>
    <x v="0"/>
    <s v=" Good Sleep"/>
    <n v="0"/>
    <x v="1"/>
  </r>
  <r>
    <x v="93"/>
    <n v="2.63"/>
    <n v="5.58"/>
    <n v="7.15"/>
    <n v="7.03"/>
    <x v="0"/>
    <x v="2"/>
    <x v="0"/>
    <s v="Poor Sleeper"/>
    <n v="0"/>
    <x v="1"/>
  </r>
  <r>
    <x v="103"/>
    <n v="4.6399999999999997"/>
    <n v="9.5500000000000007"/>
    <n v="12.04"/>
    <n v="38.090000000000003"/>
    <x v="2"/>
    <x v="2"/>
    <x v="0"/>
    <s v="Poor Sleeper"/>
    <n v="0"/>
    <x v="1"/>
  </r>
  <r>
    <x v="104"/>
    <n v="2.34"/>
    <n v="0"/>
    <n v="9.67"/>
    <n v="31.94"/>
    <x v="0"/>
    <x v="0"/>
    <x v="1"/>
    <s v="Poor Sleeper"/>
    <n v="0"/>
    <x v="0"/>
  </r>
  <r>
    <x v="105"/>
    <n v="4.3099999999999996"/>
    <n v="0"/>
    <n v="3.75"/>
    <n v="31.16"/>
    <x v="0"/>
    <x v="0"/>
    <x v="1"/>
    <s v="Poor Sleeper"/>
    <n v="0"/>
    <x v="0"/>
  </r>
  <r>
    <x v="106"/>
    <n v="4.55"/>
    <n v="0"/>
    <n v="7.18"/>
    <n v="7.29"/>
    <x v="2"/>
    <x v="0"/>
    <x v="1"/>
    <s v="Poor Sleeper"/>
    <n v="1"/>
    <x v="0"/>
  </r>
  <r>
    <x v="107"/>
    <n v="6.61"/>
    <n v="0.52"/>
    <n v="6.75"/>
    <n v="21.27"/>
    <x v="1"/>
    <x v="0"/>
    <x v="1"/>
    <s v=" Good Sleep"/>
    <n v="0"/>
    <x v="1"/>
  </r>
  <r>
    <x v="108"/>
    <n v="7.7"/>
    <n v="0.73"/>
    <n v="1.69"/>
    <n v="19.37"/>
    <x v="2"/>
    <x v="0"/>
    <x v="1"/>
    <s v=" Good Sleep"/>
    <n v="1"/>
    <x v="1"/>
  </r>
  <r>
    <x v="109"/>
    <n v="5.91"/>
    <n v="0.88"/>
    <n v="7.81"/>
    <n v="30.74"/>
    <x v="2"/>
    <x v="0"/>
    <x v="1"/>
    <s v="Poor Sleeper"/>
    <n v="0"/>
    <x v="1"/>
  </r>
  <r>
    <x v="110"/>
    <n v="7.18"/>
    <n v="1.93"/>
    <n v="9.9499999999999993"/>
    <n v="0"/>
    <x v="0"/>
    <x v="0"/>
    <x v="1"/>
    <s v=" Good Sleep"/>
    <n v="0"/>
    <x v="1"/>
  </r>
  <r>
    <x v="111"/>
    <n v="9.2799999999999994"/>
    <n v="2.06"/>
    <n v="8.5"/>
    <n v="34.44"/>
    <x v="2"/>
    <x v="0"/>
    <x v="1"/>
    <s v=" Good Sleep"/>
    <n v="0"/>
    <x v="1"/>
  </r>
  <r>
    <x v="112"/>
    <n v="6.16"/>
    <n v="2.0699999999999998"/>
    <n v="6.94"/>
    <n v="9.83"/>
    <x v="1"/>
    <x v="0"/>
    <x v="1"/>
    <s v=" Good Sleep"/>
    <n v="1"/>
    <x v="1"/>
  </r>
  <r>
    <x v="113"/>
    <n v="7.93"/>
    <n v="2.13"/>
    <n v="7.24"/>
    <n v="26.13"/>
    <x v="1"/>
    <x v="0"/>
    <x v="1"/>
    <s v=" Good Sleep"/>
    <n v="1"/>
    <x v="1"/>
  </r>
  <r>
    <x v="114"/>
    <n v="7.01"/>
    <n v="2.29"/>
    <n v="10.86"/>
    <n v="27.79"/>
    <x v="0"/>
    <x v="0"/>
    <x v="1"/>
    <s v=" Good Sleep"/>
    <n v="1"/>
    <x v="1"/>
  </r>
  <r>
    <x v="93"/>
    <n v="4.62"/>
    <n v="2.3199999999999998"/>
    <n v="8.6"/>
    <n v="26.39"/>
    <x v="1"/>
    <x v="0"/>
    <x v="1"/>
    <s v="Poor Sleeper"/>
    <n v="0"/>
    <x v="1"/>
  </r>
  <r>
    <x v="115"/>
    <n v="1.88"/>
    <n v="2.33"/>
    <n v="10.54"/>
    <n v="30.65"/>
    <x v="2"/>
    <x v="0"/>
    <x v="1"/>
    <s v="Poor Sleeper"/>
    <n v="0"/>
    <x v="1"/>
  </r>
  <r>
    <x v="116"/>
    <n v="5.21"/>
    <n v="2.4"/>
    <n v="11.16"/>
    <n v="26.25"/>
    <x v="2"/>
    <x v="0"/>
    <x v="1"/>
    <s v="Poor Sleeper"/>
    <n v="1"/>
    <x v="1"/>
  </r>
  <r>
    <x v="117"/>
    <n v="5.28"/>
    <n v="2.4700000000000002"/>
    <n v="6.05"/>
    <n v="23.88"/>
    <x v="1"/>
    <x v="0"/>
    <x v="1"/>
    <s v="Poor Sleeper"/>
    <n v="1"/>
    <x v="1"/>
  </r>
  <r>
    <x v="118"/>
    <n v="1.79"/>
    <n v="3.15"/>
    <n v="4.2699999999999996"/>
    <n v="27.5"/>
    <x v="2"/>
    <x v="0"/>
    <x v="1"/>
    <s v="Poor Sleeper"/>
    <n v="0"/>
    <x v="1"/>
  </r>
  <r>
    <x v="119"/>
    <n v="4.63"/>
    <n v="4.0199999999999996"/>
    <n v="9.49"/>
    <n v="0"/>
    <x v="2"/>
    <x v="0"/>
    <x v="1"/>
    <s v="Poor Sleeper"/>
    <n v="0"/>
    <x v="1"/>
  </r>
  <r>
    <x v="120"/>
    <n v="6.34"/>
    <n v="4.0599999999999996"/>
    <n v="5.68"/>
    <n v="49.13"/>
    <x v="2"/>
    <x v="0"/>
    <x v="1"/>
    <s v=" Good Sleep"/>
    <n v="0"/>
    <x v="1"/>
  </r>
  <r>
    <x v="121"/>
    <n v="3.65"/>
    <n v="5.0599999999999996"/>
    <n v="3.27"/>
    <n v="30.43"/>
    <x v="0"/>
    <x v="0"/>
    <x v="1"/>
    <s v="Poor Sleeper"/>
    <n v="0"/>
    <x v="1"/>
  </r>
  <r>
    <x v="122"/>
    <n v="3.26"/>
    <n v="5.61"/>
    <n v="4.0599999999999996"/>
    <n v="35.67"/>
    <x v="0"/>
    <x v="0"/>
    <x v="1"/>
    <s v="Poor Sleeper"/>
    <n v="0"/>
    <x v="1"/>
  </r>
  <r>
    <x v="123"/>
    <n v="6.07"/>
    <n v="7.59"/>
    <n v="8.08"/>
    <n v="34.049999999999997"/>
    <x v="2"/>
    <x v="0"/>
    <x v="1"/>
    <s v=" Good Sleep"/>
    <n v="0"/>
    <x v="1"/>
  </r>
  <r>
    <x v="124"/>
    <n v="3.87"/>
    <n v="0"/>
    <n v="3.04"/>
    <n v="59.05"/>
    <x v="0"/>
    <x v="1"/>
    <x v="1"/>
    <s v="Poor Sleeper"/>
    <n v="0"/>
    <x v="0"/>
  </r>
  <r>
    <x v="125"/>
    <n v="8.91"/>
    <n v="0.54"/>
    <n v="6.77"/>
    <n v="42.37"/>
    <x v="2"/>
    <x v="1"/>
    <x v="1"/>
    <s v=" Good Sleep"/>
    <n v="0"/>
    <x v="1"/>
  </r>
  <r>
    <x v="126"/>
    <n v="4.7300000000000004"/>
    <n v="0.67"/>
    <n v="8.06"/>
    <n v="24.1"/>
    <x v="0"/>
    <x v="1"/>
    <x v="1"/>
    <s v="Poor Sleeper"/>
    <n v="1"/>
    <x v="1"/>
  </r>
  <r>
    <x v="127"/>
    <n v="8.4600000000000009"/>
    <n v="1.1000000000000001"/>
    <n v="9.7200000000000006"/>
    <n v="39.42"/>
    <x v="1"/>
    <x v="1"/>
    <x v="1"/>
    <s v=" Good Sleep"/>
    <n v="0"/>
    <x v="1"/>
  </r>
  <r>
    <x v="128"/>
    <n v="7.67"/>
    <n v="1.32"/>
    <n v="6.86"/>
    <n v="27.69"/>
    <x v="1"/>
    <x v="1"/>
    <x v="1"/>
    <s v=" Good Sleep"/>
    <n v="1"/>
    <x v="1"/>
  </r>
  <r>
    <x v="129"/>
    <n v="2.84"/>
    <n v="3.05"/>
    <n v="6.93"/>
    <n v="48.72"/>
    <x v="2"/>
    <x v="1"/>
    <x v="1"/>
    <s v="Poor Sleeper"/>
    <n v="0"/>
    <x v="1"/>
  </r>
  <r>
    <x v="130"/>
    <n v="7.6"/>
    <n v="3.9"/>
    <n v="6.11"/>
    <n v="48.8"/>
    <x v="2"/>
    <x v="1"/>
    <x v="1"/>
    <s v=" Good Sleep"/>
    <n v="0"/>
    <x v="1"/>
  </r>
  <r>
    <x v="131"/>
    <n v="7.52"/>
    <n v="4.22"/>
    <n v="6.8"/>
    <n v="13.23"/>
    <x v="0"/>
    <x v="1"/>
    <x v="1"/>
    <s v=" Good Sleep"/>
    <n v="0"/>
    <x v="1"/>
  </r>
  <r>
    <x v="132"/>
    <n v="6.11"/>
    <n v="4.84"/>
    <n v="10.32"/>
    <n v="0"/>
    <x v="1"/>
    <x v="1"/>
    <x v="1"/>
    <s v=" Good Sleep"/>
    <n v="0"/>
    <x v="1"/>
  </r>
  <r>
    <x v="133"/>
    <n v="2.77"/>
    <n v="0"/>
    <n v="5.09"/>
    <n v="36.14"/>
    <x v="0"/>
    <x v="2"/>
    <x v="1"/>
    <s v="Poor Sleeper"/>
    <n v="0"/>
    <x v="0"/>
  </r>
  <r>
    <x v="134"/>
    <n v="6.82"/>
    <n v="0.28000000000000003"/>
    <n v="6.25"/>
    <n v="44.21"/>
    <x v="0"/>
    <x v="2"/>
    <x v="1"/>
    <s v=" Good Sleep"/>
    <n v="0"/>
    <x v="1"/>
  </r>
  <r>
    <x v="135"/>
    <n v="7.46"/>
    <n v="0.66"/>
    <n v="3.95"/>
    <n v="50.87"/>
    <x v="1"/>
    <x v="2"/>
    <x v="1"/>
    <s v=" Good Sleep"/>
    <n v="0"/>
    <x v="1"/>
  </r>
  <r>
    <x v="136"/>
    <n v="1"/>
    <n v="1.35"/>
    <n v="5.0199999999999996"/>
    <n v="20.48"/>
    <x v="1"/>
    <x v="2"/>
    <x v="1"/>
    <s v="Poor Sleeper"/>
    <n v="1"/>
    <x v="1"/>
  </r>
  <r>
    <x v="137"/>
    <n v="6.34"/>
    <n v="1.44"/>
    <n v="9.35"/>
    <n v="27.31"/>
    <x v="2"/>
    <x v="2"/>
    <x v="1"/>
    <s v=" Good Sleep"/>
    <n v="1"/>
    <x v="1"/>
  </r>
  <r>
    <x v="138"/>
    <n v="7.56"/>
    <n v="2.35"/>
    <n v="6.16"/>
    <n v="27.19"/>
    <x v="0"/>
    <x v="2"/>
    <x v="1"/>
    <s v=" Good Sleep"/>
    <n v="1"/>
    <x v="1"/>
  </r>
  <r>
    <x v="139"/>
    <n v="8.75"/>
    <n v="3.47"/>
    <n v="4.82"/>
    <n v="0"/>
    <x v="0"/>
    <x v="2"/>
    <x v="1"/>
    <s v=" Good Sleep"/>
    <n v="0"/>
    <x v="1"/>
  </r>
  <r>
    <x v="140"/>
    <n v="2.3199999999999998"/>
    <n v="4.45"/>
    <n v="8.5299999999999994"/>
    <n v="29.78"/>
    <x v="0"/>
    <x v="2"/>
    <x v="1"/>
    <s v="Poor Sleeper"/>
    <n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E9488D-E32D-41C7-87E8-C12C4F87358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1">
    <pivotField showAll="0">
      <items count="142">
        <item x="93"/>
        <item x="103"/>
        <item x="2"/>
        <item x="28"/>
        <item x="84"/>
        <item x="56"/>
        <item x="46"/>
        <item x="70"/>
        <item x="30"/>
        <item x="89"/>
        <item x="101"/>
        <item x="100"/>
        <item x="31"/>
        <item x="10"/>
        <item x="99"/>
        <item x="86"/>
        <item x="81"/>
        <item x="73"/>
        <item x="72"/>
        <item x="55"/>
        <item x="118"/>
        <item x="11"/>
        <item x="44"/>
        <item x="130"/>
        <item x="52"/>
        <item x="45"/>
        <item x="132"/>
        <item x="21"/>
        <item x="92"/>
        <item x="94"/>
        <item x="34"/>
        <item x="122"/>
        <item x="102"/>
        <item x="18"/>
        <item x="8"/>
        <item x="75"/>
        <item x="1"/>
        <item x="74"/>
        <item x="48"/>
        <item x="27"/>
        <item x="43"/>
        <item x="67"/>
        <item x="64"/>
        <item x="97"/>
        <item x="139"/>
        <item x="38"/>
        <item x="91"/>
        <item x="22"/>
        <item x="42"/>
        <item x="85"/>
        <item x="107"/>
        <item x="78"/>
        <item x="25"/>
        <item x="133"/>
        <item x="104"/>
        <item x="66"/>
        <item x="80"/>
        <item x="50"/>
        <item x="26"/>
        <item x="71"/>
        <item x="76"/>
        <item x="16"/>
        <item x="77"/>
        <item x="83"/>
        <item x="90"/>
        <item x="62"/>
        <item x="131"/>
        <item x="110"/>
        <item x="69"/>
        <item x="119"/>
        <item x="32"/>
        <item x="20"/>
        <item x="121"/>
        <item x="39"/>
        <item x="115"/>
        <item x="112"/>
        <item x="60"/>
        <item x="49"/>
        <item x="15"/>
        <item x="95"/>
        <item x="19"/>
        <item x="124"/>
        <item x="109"/>
        <item x="136"/>
        <item x="13"/>
        <item x="87"/>
        <item x="23"/>
        <item x="53"/>
        <item x="116"/>
        <item x="126"/>
        <item x="61"/>
        <item x="106"/>
        <item x="105"/>
        <item x="63"/>
        <item x="65"/>
        <item x="9"/>
        <item x="33"/>
        <item x="14"/>
        <item x="29"/>
        <item x="51"/>
        <item x="35"/>
        <item x="114"/>
        <item x="96"/>
        <item x="41"/>
        <item x="128"/>
        <item x="127"/>
        <item x="54"/>
        <item x="59"/>
        <item x="12"/>
        <item x="113"/>
        <item x="47"/>
        <item x="36"/>
        <item x="82"/>
        <item x="0"/>
        <item x="79"/>
        <item x="5"/>
        <item x="6"/>
        <item x="7"/>
        <item x="125"/>
        <item x="98"/>
        <item x="58"/>
        <item x="120"/>
        <item x="135"/>
        <item x="129"/>
        <item x="111"/>
        <item x="24"/>
        <item x="17"/>
        <item x="134"/>
        <item x="140"/>
        <item x="137"/>
        <item x="138"/>
        <item x="117"/>
        <item x="57"/>
        <item x="3"/>
        <item x="40"/>
        <item x="123"/>
        <item x="68"/>
        <item x="37"/>
        <item x="88"/>
        <item x="108"/>
        <item x="4"/>
        <item t="default"/>
      </items>
    </pivotField>
    <pivotField showAll="0"/>
    <pivotField showAll="0"/>
    <pivotField showAll="0"/>
    <pivotField showAll="0"/>
    <pivotField axis="axisRow" dataField="1" showAll="0">
      <items count="4">
        <item x="0"/>
        <item x="1"/>
        <item x="2"/>
        <item t="default"/>
      </items>
    </pivotField>
    <pivotField showAll="0">
      <items count="4">
        <item x="0"/>
        <item x="1"/>
        <item x="2"/>
        <item t="default"/>
      </items>
    </pivotField>
    <pivotField showAll="0">
      <items count="3">
        <item x="0"/>
        <item x="1"/>
        <item t="default"/>
      </items>
    </pivotField>
    <pivotField showAll="0"/>
    <pivotField showAll="0"/>
    <pivotField showAll="0">
      <items count="3">
        <item x="0"/>
        <item x="1"/>
        <item t="default"/>
      </items>
    </pivotField>
  </pivotFields>
  <rowFields count="1">
    <field x="5"/>
  </rowFields>
  <rowItems count="4">
    <i>
      <x/>
    </i>
    <i>
      <x v="1"/>
    </i>
    <i>
      <x v="2"/>
    </i>
    <i t="grand">
      <x/>
    </i>
  </rowItems>
  <colItems count="1">
    <i/>
  </colItems>
  <dataFields count="1">
    <dataField name="Count of Level_Group"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C0279B-90D1-466C-AB41-BB4D4DB963F3}" name="Table1" displayName="Table1" ref="A1:K144" totalsRowShown="0" headerRowDxfId="2">
  <autoFilter ref="A1:K144" xr:uid="{2FC0279B-90D1-466C-AB41-BB4D4DB963F3}"/>
  <sortState xmlns:xlrd2="http://schemas.microsoft.com/office/spreadsheetml/2017/richdata2" ref="A2:J144">
    <sortCondition ref="H1:H144"/>
  </sortState>
  <tableColumns count="11">
    <tableColumn id="1" xr3:uid="{6E49A5A6-17F8-44C3-9864-A270EED7D95B}" name="work_performance_metric1"/>
    <tableColumn id="2" xr3:uid="{61D223F3-41D8-43A7-8473-76A3BF869CB9}" name="sleep_related_metric"/>
    <tableColumn id="3" xr3:uid="{C41083E9-B2CB-4D21-8C5C-F275F03E93E4}" name="activity_metric"/>
    <tableColumn id="4" xr3:uid="{581EBC3E-63BD-4E5E-AE72-9F31C85D2304}" name="screen_related_metric"/>
    <tableColumn id="5" xr3:uid="{D1CB93C9-855C-4AF0-A0D0-5DA543690A9B}" name="time_metric"/>
    <tableColumn id="6" xr3:uid="{16328DF5-73E0-4F89-8C3D-C41A77F3AA45}" name="Level_Group"/>
    <tableColumn id="7" xr3:uid="{06924720-C406-4E70-92B2-2D77646D676E}" name="Category_Type"/>
    <tableColumn id="8" xr3:uid="{207DF5F0-D5C0-4055-8D97-2ABDE3C77D62}" name="work_performance_label"/>
    <tableColumn id="9" xr3:uid="{28D5F500-0A0E-4137-9C1C-44A57EBD1A69}" name="good_sleeper_category" dataDxfId="1">
      <calculatedColumnFormula>IF(B2&gt;=6, "Good Sleeper", "Poor Sleeper")</calculatedColumnFormula>
    </tableColumn>
    <tableColumn id="11" xr3:uid="{60D898E8-B8FD-4DEB-8B6D-29ACB0827300}" name="high_efficency flag">
      <calculatedColumnFormula>IF(AND(A2&gt;50,E2&lt;30),1,0)</calculatedColumnFormula>
    </tableColumn>
    <tableColumn id="12" xr3:uid="{4B46EC80-4605-4AA3-AEC9-E509AFB86008}" name="has_activity" dataDxfId="0">
      <calculatedColumnFormula>IF(C2&gt;0,1,0)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opLeftCell="A49" workbookViewId="0">
      <selection activeCell="H3" sqref="H3 F8 F10 D31 H36 D43 C43:C44 G46 F50 E51 H58 D60 E63 B64 C65 A66 C69 F73 H76 C83 G85 G93 A97 A110 A112 D114 C118 B119 B122 H124 B130 A131 D132 F132 A134 H137 B138 H146 C149 A150 D152 H153 C156 E161 B162 E164 E167 A170 D171 D183 G186 H187 A188 C190 H193 F196 B197 H200"/>
    </sheetView>
  </sheetViews>
  <sheetFormatPr defaultRowHeight="14.5" x14ac:dyDescent="0.35"/>
  <cols>
    <col min="1" max="1" width="28.90625" customWidth="1"/>
    <col min="2" max="2" width="35.7265625" customWidth="1"/>
    <col min="3" max="3" width="23.453125" customWidth="1"/>
    <col min="4" max="4" width="24.7265625" customWidth="1"/>
    <col min="5" max="5" width="21.6328125" customWidth="1"/>
    <col min="6" max="6" width="24.81640625" customWidth="1"/>
    <col min="7" max="7" width="16.81640625" customWidth="1"/>
    <col min="8" max="8" width="25.26953125" customWidth="1"/>
  </cols>
  <sheetData>
    <row r="1" spans="1:8" x14ac:dyDescent="0.35">
      <c r="A1" s="1" t="s">
        <v>0</v>
      </c>
      <c r="B1" s="1" t="s">
        <v>1</v>
      </c>
      <c r="C1" s="1" t="s">
        <v>2</v>
      </c>
      <c r="D1" s="1" t="s">
        <v>3</v>
      </c>
      <c r="E1" s="1" t="s">
        <v>4</v>
      </c>
      <c r="F1" s="1" t="s">
        <v>5</v>
      </c>
      <c r="G1" s="1" t="s">
        <v>6</v>
      </c>
      <c r="H1" s="1" t="s">
        <v>7</v>
      </c>
    </row>
    <row r="2" spans="1:8" x14ac:dyDescent="0.35">
      <c r="A2">
        <v>59.69</v>
      </c>
      <c r="B2">
        <v>7.01</v>
      </c>
      <c r="C2">
        <v>2.29</v>
      </c>
      <c r="D2">
        <v>10.86</v>
      </c>
      <c r="E2">
        <v>27.79</v>
      </c>
      <c r="F2" t="s">
        <v>8</v>
      </c>
      <c r="G2" t="s">
        <v>11</v>
      </c>
      <c r="H2">
        <v>1</v>
      </c>
    </row>
    <row r="3" spans="1:8" x14ac:dyDescent="0.35">
      <c r="A3">
        <v>33.56</v>
      </c>
      <c r="B3">
        <v>7.92</v>
      </c>
      <c r="C3">
        <v>0.44</v>
      </c>
      <c r="D3">
        <v>6.63</v>
      </c>
      <c r="E3">
        <v>21.66</v>
      </c>
      <c r="F3" t="s">
        <v>9</v>
      </c>
      <c r="G3" t="s">
        <v>12</v>
      </c>
    </row>
    <row r="4" spans="1:8" x14ac:dyDescent="0.35">
      <c r="A4">
        <v>43.27</v>
      </c>
      <c r="B4">
        <v>4.28</v>
      </c>
      <c r="C4">
        <v>3.58</v>
      </c>
      <c r="D4">
        <v>7.26</v>
      </c>
      <c r="E4">
        <v>47.28</v>
      </c>
      <c r="F4" t="s">
        <v>9</v>
      </c>
      <c r="G4" t="s">
        <v>11</v>
      </c>
      <c r="H4">
        <v>0</v>
      </c>
    </row>
    <row r="5" spans="1:8" x14ac:dyDescent="0.35">
      <c r="A5">
        <v>16.73</v>
      </c>
      <c r="B5">
        <v>7.5</v>
      </c>
      <c r="C5">
        <v>4.17</v>
      </c>
      <c r="D5">
        <v>7.76</v>
      </c>
      <c r="E5">
        <v>37.450000000000003</v>
      </c>
      <c r="F5" t="s">
        <v>8</v>
      </c>
      <c r="G5" t="s">
        <v>11</v>
      </c>
      <c r="H5">
        <v>0</v>
      </c>
    </row>
    <row r="6" spans="1:8" x14ac:dyDescent="0.35">
      <c r="A6">
        <v>84.39</v>
      </c>
      <c r="B6">
        <v>7.09</v>
      </c>
      <c r="C6">
        <v>3.71</v>
      </c>
      <c r="D6">
        <v>6.15</v>
      </c>
      <c r="E6">
        <v>41.17</v>
      </c>
      <c r="F6" t="s">
        <v>10</v>
      </c>
      <c r="G6" t="s">
        <v>13</v>
      </c>
      <c r="H6">
        <v>0</v>
      </c>
    </row>
    <row r="7" spans="1:8" x14ac:dyDescent="0.35">
      <c r="A7">
        <v>21.66</v>
      </c>
      <c r="B7">
        <v>5.78</v>
      </c>
      <c r="C7">
        <v>1.68</v>
      </c>
      <c r="D7">
        <v>8.98</v>
      </c>
      <c r="E7">
        <v>2.84</v>
      </c>
      <c r="F7" t="s">
        <v>8</v>
      </c>
      <c r="G7" t="s">
        <v>13</v>
      </c>
      <c r="H7">
        <v>0</v>
      </c>
    </row>
    <row r="8" spans="1:8" x14ac:dyDescent="0.35">
      <c r="A8">
        <v>22.31</v>
      </c>
      <c r="B8">
        <v>3.5</v>
      </c>
      <c r="C8">
        <v>1.5</v>
      </c>
      <c r="D8">
        <v>6.36</v>
      </c>
      <c r="E8">
        <v>39.07</v>
      </c>
      <c r="G8" t="s">
        <v>13</v>
      </c>
      <c r="H8">
        <v>0</v>
      </c>
    </row>
    <row r="9" spans="1:8" x14ac:dyDescent="0.35">
      <c r="A9">
        <v>58.06</v>
      </c>
      <c r="B9">
        <v>5.23</v>
      </c>
      <c r="C9">
        <v>4.16</v>
      </c>
      <c r="D9">
        <v>2.95</v>
      </c>
      <c r="E9">
        <v>32.51</v>
      </c>
      <c r="F9" t="s">
        <v>8</v>
      </c>
      <c r="G9" t="s">
        <v>11</v>
      </c>
      <c r="H9">
        <v>0</v>
      </c>
    </row>
    <row r="10" spans="1:8" x14ac:dyDescent="0.35">
      <c r="A10">
        <v>61.9</v>
      </c>
      <c r="B10">
        <v>7.4</v>
      </c>
      <c r="C10">
        <v>3.51</v>
      </c>
      <c r="D10">
        <v>8.15</v>
      </c>
      <c r="E10">
        <v>22.34</v>
      </c>
      <c r="G10" t="s">
        <v>12</v>
      </c>
      <c r="H10">
        <v>0</v>
      </c>
    </row>
    <row r="11" spans="1:8" x14ac:dyDescent="0.35">
      <c r="A11">
        <v>31.68</v>
      </c>
      <c r="B11">
        <v>4.7300000000000004</v>
      </c>
      <c r="C11">
        <v>1.37</v>
      </c>
      <c r="D11">
        <v>4.46</v>
      </c>
      <c r="E11">
        <v>36.06</v>
      </c>
      <c r="F11" t="s">
        <v>9</v>
      </c>
      <c r="G11" t="s">
        <v>11</v>
      </c>
      <c r="H11">
        <v>0</v>
      </c>
    </row>
    <row r="12" spans="1:8" x14ac:dyDescent="0.35">
      <c r="A12">
        <v>19.899999999999999</v>
      </c>
      <c r="B12">
        <v>10.51</v>
      </c>
      <c r="C12">
        <v>0</v>
      </c>
      <c r="D12">
        <v>13.74</v>
      </c>
      <c r="E12">
        <v>35.15</v>
      </c>
      <c r="F12" t="s">
        <v>9</v>
      </c>
      <c r="G12" t="s">
        <v>12</v>
      </c>
      <c r="H12">
        <v>0</v>
      </c>
    </row>
    <row r="13" spans="1:8" x14ac:dyDescent="0.35">
      <c r="A13">
        <v>5</v>
      </c>
      <c r="B13">
        <v>2.63</v>
      </c>
      <c r="C13">
        <v>5.58</v>
      </c>
      <c r="D13">
        <v>7.15</v>
      </c>
      <c r="E13">
        <v>7.03</v>
      </c>
      <c r="F13" t="s">
        <v>8</v>
      </c>
      <c r="G13" t="s">
        <v>12</v>
      </c>
      <c r="H13">
        <v>0</v>
      </c>
    </row>
    <row r="14" spans="1:8" x14ac:dyDescent="0.35">
      <c r="A14">
        <v>44.57</v>
      </c>
      <c r="B14">
        <v>5.98</v>
      </c>
      <c r="C14">
        <v>4.5199999999999996</v>
      </c>
      <c r="D14">
        <v>6.28</v>
      </c>
      <c r="E14">
        <v>41.52</v>
      </c>
      <c r="F14" t="s">
        <v>8</v>
      </c>
      <c r="G14" t="s">
        <v>13</v>
      </c>
      <c r="H14">
        <v>0</v>
      </c>
    </row>
    <row r="15" spans="1:8" x14ac:dyDescent="0.35">
      <c r="A15">
        <v>34.520000000000003</v>
      </c>
      <c r="B15">
        <v>2.8</v>
      </c>
      <c r="C15">
        <v>0</v>
      </c>
      <c r="D15">
        <v>8.9700000000000006</v>
      </c>
      <c r="E15">
        <v>45.25</v>
      </c>
      <c r="F15" t="s">
        <v>9</v>
      </c>
      <c r="G15" t="s">
        <v>11</v>
      </c>
      <c r="H15">
        <v>0</v>
      </c>
    </row>
    <row r="16" spans="1:8" x14ac:dyDescent="0.35">
      <c r="A16">
        <v>22.19</v>
      </c>
      <c r="B16">
        <v>8.75</v>
      </c>
      <c r="C16">
        <v>6.9</v>
      </c>
      <c r="D16">
        <v>6.46</v>
      </c>
      <c r="E16">
        <v>43.92</v>
      </c>
      <c r="F16" t="s">
        <v>9</v>
      </c>
      <c r="G16" t="s">
        <v>11</v>
      </c>
      <c r="H16">
        <v>0</v>
      </c>
    </row>
    <row r="17" spans="1:8" x14ac:dyDescent="0.35">
      <c r="A17">
        <v>55.52</v>
      </c>
      <c r="B17">
        <v>6.33</v>
      </c>
      <c r="C17">
        <v>3.44</v>
      </c>
      <c r="D17">
        <v>5.71</v>
      </c>
      <c r="E17">
        <v>17.7</v>
      </c>
      <c r="F17" t="s">
        <v>10</v>
      </c>
      <c r="G17" t="s">
        <v>13</v>
      </c>
      <c r="H17">
        <v>0</v>
      </c>
    </row>
    <row r="18" spans="1:8" x14ac:dyDescent="0.35">
      <c r="A18">
        <v>73.11</v>
      </c>
      <c r="B18">
        <v>2.3199999999999998</v>
      </c>
      <c r="C18">
        <v>4.45</v>
      </c>
      <c r="D18">
        <v>8.5299999999999994</v>
      </c>
      <c r="E18">
        <v>29.78</v>
      </c>
      <c r="F18" t="s">
        <v>8</v>
      </c>
      <c r="G18" t="s">
        <v>12</v>
      </c>
      <c r="H18">
        <v>1</v>
      </c>
    </row>
    <row r="19" spans="1:8" x14ac:dyDescent="0.35">
      <c r="A19">
        <v>54.55</v>
      </c>
      <c r="B19">
        <v>7.59</v>
      </c>
      <c r="C19">
        <v>3.13</v>
      </c>
      <c r="D19">
        <v>2.4</v>
      </c>
      <c r="E19">
        <v>26.51</v>
      </c>
      <c r="F19" t="s">
        <v>10</v>
      </c>
      <c r="G19" t="s">
        <v>13</v>
      </c>
      <c r="H19">
        <v>0</v>
      </c>
    </row>
    <row r="20" spans="1:8" x14ac:dyDescent="0.35">
      <c r="A20">
        <v>45.67</v>
      </c>
      <c r="B20">
        <v>8.33</v>
      </c>
      <c r="C20">
        <v>5.49</v>
      </c>
      <c r="D20">
        <v>7.71</v>
      </c>
      <c r="E20">
        <v>7.38</v>
      </c>
      <c r="F20" t="s">
        <v>8</v>
      </c>
      <c r="G20" t="s">
        <v>13</v>
      </c>
      <c r="H20">
        <v>0</v>
      </c>
    </row>
    <row r="21" spans="1:8" x14ac:dyDescent="0.35">
      <c r="A21">
        <v>73.84</v>
      </c>
      <c r="B21">
        <v>6.34</v>
      </c>
      <c r="C21">
        <v>1.44</v>
      </c>
      <c r="D21">
        <v>9.35</v>
      </c>
      <c r="E21">
        <v>27.31</v>
      </c>
      <c r="F21" t="s">
        <v>10</v>
      </c>
      <c r="G21" t="s">
        <v>12</v>
      </c>
      <c r="H21">
        <v>1</v>
      </c>
    </row>
    <row r="22" spans="1:8" x14ac:dyDescent="0.35">
      <c r="A22">
        <v>61.14</v>
      </c>
      <c r="B22">
        <v>7.09</v>
      </c>
      <c r="C22">
        <v>1.37</v>
      </c>
      <c r="D22">
        <v>8.2799999999999994</v>
      </c>
      <c r="E22">
        <v>49.82</v>
      </c>
      <c r="F22" t="s">
        <v>8</v>
      </c>
      <c r="G22" t="s">
        <v>13</v>
      </c>
      <c r="H22">
        <v>0</v>
      </c>
    </row>
    <row r="23" spans="1:8" x14ac:dyDescent="0.35">
      <c r="A23">
        <v>55.36</v>
      </c>
      <c r="B23">
        <v>7.33</v>
      </c>
      <c r="C23">
        <v>3.15</v>
      </c>
      <c r="D23">
        <v>6.79</v>
      </c>
      <c r="E23">
        <v>34.119999999999997</v>
      </c>
      <c r="F23" t="s">
        <v>9</v>
      </c>
      <c r="G23" t="s">
        <v>13</v>
      </c>
      <c r="H23">
        <v>0</v>
      </c>
    </row>
    <row r="24" spans="1:8" x14ac:dyDescent="0.35">
      <c r="A24">
        <v>29.64</v>
      </c>
      <c r="B24">
        <v>6.93</v>
      </c>
      <c r="C24">
        <v>2.5499999999999998</v>
      </c>
      <c r="D24">
        <v>6.85</v>
      </c>
      <c r="E24">
        <v>25.74</v>
      </c>
      <c r="F24" t="s">
        <v>10</v>
      </c>
      <c r="G24" t="s">
        <v>11</v>
      </c>
      <c r="H24">
        <v>0</v>
      </c>
    </row>
    <row r="25" spans="1:8" x14ac:dyDescent="0.35">
      <c r="A25">
        <v>38.97</v>
      </c>
      <c r="B25">
        <v>11.19</v>
      </c>
      <c r="C25">
        <v>5.03</v>
      </c>
      <c r="D25">
        <v>5.24</v>
      </c>
      <c r="E25">
        <v>53.66</v>
      </c>
      <c r="F25" t="s">
        <v>10</v>
      </c>
      <c r="G25" t="s">
        <v>11</v>
      </c>
      <c r="H25">
        <v>0</v>
      </c>
    </row>
    <row r="26" spans="1:8" x14ac:dyDescent="0.35">
      <c r="A26">
        <v>62.39</v>
      </c>
      <c r="B26">
        <v>6.36</v>
      </c>
      <c r="C26">
        <v>1.65</v>
      </c>
      <c r="D26">
        <v>7.52</v>
      </c>
      <c r="E26">
        <v>13.41</v>
      </c>
      <c r="F26" t="s">
        <v>10</v>
      </c>
      <c r="G26" t="s">
        <v>11</v>
      </c>
      <c r="H26">
        <v>0</v>
      </c>
    </row>
    <row r="27" spans="1:8" x14ac:dyDescent="0.35">
      <c r="A27">
        <v>40.08</v>
      </c>
      <c r="B27">
        <v>6.6</v>
      </c>
      <c r="C27">
        <v>0</v>
      </c>
      <c r="D27">
        <v>6.28</v>
      </c>
      <c r="E27">
        <v>12.6</v>
      </c>
      <c r="F27" t="s">
        <v>8</v>
      </c>
      <c r="G27" t="s">
        <v>12</v>
      </c>
      <c r="H27">
        <v>0</v>
      </c>
    </row>
    <row r="28" spans="1:8" x14ac:dyDescent="0.35">
      <c r="A28">
        <v>65.14</v>
      </c>
      <c r="B28">
        <v>3.98</v>
      </c>
      <c r="C28">
        <v>0</v>
      </c>
      <c r="D28">
        <v>3.26</v>
      </c>
      <c r="E28">
        <v>26.47</v>
      </c>
      <c r="F28" t="s">
        <v>8</v>
      </c>
      <c r="G28" t="s">
        <v>11</v>
      </c>
      <c r="H28">
        <v>0</v>
      </c>
    </row>
    <row r="29" spans="1:8" x14ac:dyDescent="0.35">
      <c r="A29">
        <v>39.159999999999997</v>
      </c>
      <c r="B29">
        <v>6.27</v>
      </c>
      <c r="C29">
        <v>1.27</v>
      </c>
      <c r="D29">
        <v>6.12</v>
      </c>
      <c r="E29">
        <v>46.35</v>
      </c>
      <c r="F29" t="s">
        <v>10</v>
      </c>
      <c r="G29" t="s">
        <v>12</v>
      </c>
      <c r="H29">
        <v>0</v>
      </c>
    </row>
    <row r="30" spans="1:8" x14ac:dyDescent="0.35">
      <c r="A30">
        <v>51.91</v>
      </c>
      <c r="B30">
        <v>5.91</v>
      </c>
      <c r="C30">
        <v>0.88</v>
      </c>
      <c r="D30">
        <v>7.81</v>
      </c>
      <c r="E30">
        <v>30.74</v>
      </c>
      <c r="F30" t="s">
        <v>10</v>
      </c>
      <c r="G30" t="s">
        <v>11</v>
      </c>
      <c r="H30">
        <v>1</v>
      </c>
    </row>
    <row r="31" spans="1:8" x14ac:dyDescent="0.35">
      <c r="A31">
        <v>51.74</v>
      </c>
      <c r="B31">
        <v>8.67</v>
      </c>
      <c r="C31">
        <v>2.81</v>
      </c>
      <c r="E31">
        <v>35.83</v>
      </c>
      <c r="F31" t="s">
        <v>10</v>
      </c>
      <c r="G31" t="s">
        <v>13</v>
      </c>
      <c r="H31">
        <v>0</v>
      </c>
    </row>
    <row r="32" spans="1:8" x14ac:dyDescent="0.35">
      <c r="A32">
        <v>45.93</v>
      </c>
      <c r="B32">
        <v>7.15</v>
      </c>
      <c r="C32">
        <v>3.14</v>
      </c>
      <c r="D32">
        <v>8.73</v>
      </c>
      <c r="E32">
        <v>25.42</v>
      </c>
      <c r="F32" t="s">
        <v>10</v>
      </c>
      <c r="G32" t="s">
        <v>13</v>
      </c>
      <c r="H32">
        <v>0</v>
      </c>
    </row>
    <row r="33" spans="1:8" x14ac:dyDescent="0.35">
      <c r="A33">
        <v>55.22</v>
      </c>
      <c r="B33">
        <v>4.3099999999999996</v>
      </c>
      <c r="C33">
        <v>0</v>
      </c>
      <c r="D33">
        <v>3.75</v>
      </c>
      <c r="E33">
        <v>31.16</v>
      </c>
      <c r="F33" t="s">
        <v>8</v>
      </c>
      <c r="G33" t="s">
        <v>11</v>
      </c>
      <c r="H33">
        <v>1</v>
      </c>
    </row>
    <row r="34" spans="1:8" x14ac:dyDescent="0.35">
      <c r="A34">
        <v>90.44</v>
      </c>
      <c r="B34">
        <v>7.11</v>
      </c>
      <c r="C34">
        <v>0.81</v>
      </c>
      <c r="D34">
        <v>10.16</v>
      </c>
      <c r="E34">
        <v>0</v>
      </c>
      <c r="F34" t="s">
        <v>10</v>
      </c>
      <c r="G34" t="s">
        <v>12</v>
      </c>
      <c r="H34">
        <v>0</v>
      </c>
    </row>
    <row r="35" spans="1:8" x14ac:dyDescent="0.35">
      <c r="A35">
        <v>26.37</v>
      </c>
      <c r="B35">
        <v>4.26</v>
      </c>
      <c r="C35">
        <v>2.82</v>
      </c>
      <c r="D35">
        <v>8.93</v>
      </c>
      <c r="E35">
        <v>40.119999999999997</v>
      </c>
      <c r="F35" t="s">
        <v>8</v>
      </c>
      <c r="G35" t="s">
        <v>11</v>
      </c>
      <c r="H35">
        <v>0</v>
      </c>
    </row>
    <row r="36" spans="1:8" x14ac:dyDescent="0.35">
      <c r="A36">
        <v>61.59</v>
      </c>
      <c r="B36">
        <v>5.13</v>
      </c>
      <c r="C36">
        <v>6.25</v>
      </c>
      <c r="D36">
        <v>8.41</v>
      </c>
      <c r="E36">
        <v>37.06</v>
      </c>
      <c r="F36" t="s">
        <v>10</v>
      </c>
      <c r="G36" t="s">
        <v>11</v>
      </c>
    </row>
    <row r="37" spans="1:8" x14ac:dyDescent="0.35">
      <c r="A37">
        <v>50.78</v>
      </c>
      <c r="B37">
        <v>8.8800000000000008</v>
      </c>
      <c r="C37">
        <v>0</v>
      </c>
      <c r="D37">
        <v>6.98</v>
      </c>
      <c r="E37">
        <v>13.66</v>
      </c>
      <c r="F37" t="s">
        <v>10</v>
      </c>
      <c r="G37" t="s">
        <v>13</v>
      </c>
      <c r="H37">
        <v>0</v>
      </c>
    </row>
    <row r="38" spans="1:8" x14ac:dyDescent="0.35">
      <c r="A38">
        <v>77.47</v>
      </c>
      <c r="B38">
        <v>6.97</v>
      </c>
      <c r="C38">
        <v>0</v>
      </c>
      <c r="D38">
        <v>7</v>
      </c>
      <c r="E38">
        <v>40.82</v>
      </c>
      <c r="F38" t="s">
        <v>10</v>
      </c>
      <c r="G38" t="s">
        <v>11</v>
      </c>
      <c r="H38">
        <v>0</v>
      </c>
    </row>
    <row r="39" spans="1:8" x14ac:dyDescent="0.35">
      <c r="A39">
        <v>43.79</v>
      </c>
      <c r="B39">
        <v>5.64</v>
      </c>
      <c r="C39">
        <v>3.9</v>
      </c>
      <c r="D39">
        <v>5.26</v>
      </c>
      <c r="E39">
        <v>45.06</v>
      </c>
      <c r="F39" t="s">
        <v>9</v>
      </c>
      <c r="G39" t="s">
        <v>13</v>
      </c>
      <c r="H39">
        <v>0</v>
      </c>
    </row>
    <row r="40" spans="1:8" x14ac:dyDescent="0.35">
      <c r="A40">
        <v>23.89</v>
      </c>
      <c r="B40">
        <v>6.11</v>
      </c>
      <c r="C40">
        <v>4.84</v>
      </c>
      <c r="D40">
        <v>10.32</v>
      </c>
      <c r="E40">
        <v>0</v>
      </c>
      <c r="F40" t="s">
        <v>9</v>
      </c>
      <c r="G40" t="s">
        <v>13</v>
      </c>
      <c r="H40">
        <v>1</v>
      </c>
    </row>
    <row r="41" spans="1:8" x14ac:dyDescent="0.35">
      <c r="A41">
        <v>51.03</v>
      </c>
      <c r="B41">
        <v>4.87</v>
      </c>
      <c r="C41">
        <v>1.74</v>
      </c>
      <c r="D41">
        <v>6.2</v>
      </c>
      <c r="E41">
        <v>34.32</v>
      </c>
      <c r="F41" t="s">
        <v>10</v>
      </c>
      <c r="G41" t="s">
        <v>12</v>
      </c>
      <c r="H41">
        <v>0</v>
      </c>
    </row>
    <row r="42" spans="1:8" x14ac:dyDescent="0.35">
      <c r="A42">
        <v>47.42</v>
      </c>
      <c r="B42">
        <v>4.63</v>
      </c>
      <c r="C42">
        <v>4.0199999999999996</v>
      </c>
      <c r="D42">
        <v>9.49</v>
      </c>
      <c r="E42">
        <v>0</v>
      </c>
      <c r="F42" t="s">
        <v>10</v>
      </c>
      <c r="G42" t="s">
        <v>11</v>
      </c>
      <c r="H42">
        <v>1</v>
      </c>
    </row>
    <row r="43" spans="1:8" x14ac:dyDescent="0.35">
      <c r="A43">
        <v>41.32</v>
      </c>
      <c r="B43">
        <v>7.5</v>
      </c>
      <c r="E43">
        <v>31.84</v>
      </c>
      <c r="F43" t="s">
        <v>10</v>
      </c>
      <c r="G43" t="s">
        <v>12</v>
      </c>
      <c r="H43">
        <v>0</v>
      </c>
    </row>
    <row r="44" spans="1:8" x14ac:dyDescent="0.35">
      <c r="A44">
        <v>50.92</v>
      </c>
      <c r="B44">
        <v>5.13</v>
      </c>
      <c r="D44">
        <v>4.5999999999999996</v>
      </c>
      <c r="E44">
        <v>15.33</v>
      </c>
      <c r="F44" t="s">
        <v>9</v>
      </c>
      <c r="G44" t="s">
        <v>11</v>
      </c>
      <c r="H44">
        <v>0</v>
      </c>
    </row>
    <row r="45" spans="1:8" x14ac:dyDescent="0.35">
      <c r="A45">
        <v>15.14</v>
      </c>
      <c r="B45">
        <v>5.24</v>
      </c>
      <c r="C45">
        <v>3.82</v>
      </c>
      <c r="D45">
        <v>7.79</v>
      </c>
      <c r="E45">
        <v>3.24</v>
      </c>
      <c r="F45" t="s">
        <v>10</v>
      </c>
      <c r="G45" t="s">
        <v>13</v>
      </c>
      <c r="H45">
        <v>0</v>
      </c>
    </row>
    <row r="46" spans="1:8" x14ac:dyDescent="0.35">
      <c r="A46">
        <v>41.29</v>
      </c>
      <c r="B46">
        <v>5.36</v>
      </c>
      <c r="C46">
        <v>2.65</v>
      </c>
      <c r="D46">
        <v>8.56</v>
      </c>
      <c r="E46">
        <v>48.61</v>
      </c>
      <c r="F46" t="s">
        <v>9</v>
      </c>
      <c r="H46">
        <v>0</v>
      </c>
    </row>
    <row r="47" spans="1:8" x14ac:dyDescent="0.35">
      <c r="A47">
        <v>52.13</v>
      </c>
      <c r="B47">
        <v>2.94</v>
      </c>
      <c r="C47">
        <v>1.71</v>
      </c>
      <c r="D47">
        <v>5.66</v>
      </c>
      <c r="E47">
        <v>31.1</v>
      </c>
      <c r="F47" t="s">
        <v>10</v>
      </c>
      <c r="G47" t="s">
        <v>11</v>
      </c>
      <c r="H47">
        <v>0</v>
      </c>
    </row>
    <row r="48" spans="1:8" x14ac:dyDescent="0.35">
      <c r="A48">
        <v>34.74</v>
      </c>
      <c r="B48">
        <v>7.58</v>
      </c>
      <c r="C48">
        <v>4.25</v>
      </c>
      <c r="D48">
        <v>4.71</v>
      </c>
      <c r="E48">
        <v>17.010000000000002</v>
      </c>
      <c r="F48" t="s">
        <v>8</v>
      </c>
      <c r="G48" t="s">
        <v>13</v>
      </c>
      <c r="H48">
        <v>0</v>
      </c>
    </row>
    <row r="49" spans="1:8" x14ac:dyDescent="0.35">
      <c r="A49">
        <v>12.64</v>
      </c>
      <c r="B49">
        <v>6.16</v>
      </c>
      <c r="C49">
        <v>2.06</v>
      </c>
      <c r="D49">
        <v>7.5</v>
      </c>
      <c r="E49">
        <v>11.69</v>
      </c>
      <c r="F49" t="s">
        <v>10</v>
      </c>
      <c r="G49" t="s">
        <v>13</v>
      </c>
      <c r="H49">
        <v>0</v>
      </c>
    </row>
    <row r="50" spans="1:8" x14ac:dyDescent="0.35">
      <c r="A50">
        <v>38.11</v>
      </c>
      <c r="B50">
        <v>7.62</v>
      </c>
      <c r="C50">
        <v>5.66</v>
      </c>
      <c r="D50">
        <v>5.0199999999999996</v>
      </c>
      <c r="E50">
        <v>16.93</v>
      </c>
      <c r="G50" t="s">
        <v>12</v>
      </c>
      <c r="H50">
        <v>0</v>
      </c>
    </row>
    <row r="51" spans="1:8" x14ac:dyDescent="0.35">
      <c r="A51">
        <v>24.15</v>
      </c>
      <c r="B51">
        <v>9.4600000000000009</v>
      </c>
      <c r="C51">
        <v>4.4400000000000004</v>
      </c>
      <c r="D51">
        <v>9.89</v>
      </c>
      <c r="F51" t="s">
        <v>8</v>
      </c>
      <c r="G51" t="s">
        <v>13</v>
      </c>
      <c r="H51">
        <v>0</v>
      </c>
    </row>
    <row r="52" spans="1:8" x14ac:dyDescent="0.35">
      <c r="A52">
        <v>11.46</v>
      </c>
      <c r="B52">
        <v>3.12</v>
      </c>
      <c r="C52">
        <v>4.1399999999999997</v>
      </c>
      <c r="D52">
        <v>9.4600000000000009</v>
      </c>
      <c r="E52">
        <v>16.04</v>
      </c>
      <c r="F52" t="s">
        <v>10</v>
      </c>
      <c r="G52" t="s">
        <v>11</v>
      </c>
      <c r="H52">
        <v>0</v>
      </c>
    </row>
    <row r="53" spans="1:8" x14ac:dyDescent="0.35">
      <c r="A53">
        <v>43.05</v>
      </c>
      <c r="B53">
        <v>6.41</v>
      </c>
      <c r="C53">
        <v>4.7300000000000004</v>
      </c>
      <c r="D53">
        <v>9.7200000000000006</v>
      </c>
      <c r="E53">
        <v>32.43</v>
      </c>
      <c r="F53" t="s">
        <v>8</v>
      </c>
      <c r="G53" t="s">
        <v>13</v>
      </c>
      <c r="H53">
        <v>0</v>
      </c>
    </row>
    <row r="54" spans="1:8" x14ac:dyDescent="0.35">
      <c r="A54">
        <v>39.520000000000003</v>
      </c>
      <c r="B54">
        <v>3.64</v>
      </c>
      <c r="C54">
        <v>2.96</v>
      </c>
      <c r="D54">
        <v>5.3</v>
      </c>
      <c r="E54">
        <v>22.91</v>
      </c>
      <c r="F54" t="s">
        <v>10</v>
      </c>
      <c r="G54" t="s">
        <v>11</v>
      </c>
      <c r="H54">
        <v>0</v>
      </c>
    </row>
    <row r="55" spans="1:8" x14ac:dyDescent="0.35">
      <c r="A55">
        <v>68.290000000000006</v>
      </c>
      <c r="B55">
        <v>10.51</v>
      </c>
      <c r="C55">
        <v>0.84</v>
      </c>
      <c r="D55">
        <v>10.52</v>
      </c>
      <c r="E55">
        <v>21.57</v>
      </c>
      <c r="F55" t="s">
        <v>8</v>
      </c>
      <c r="G55" t="s">
        <v>11</v>
      </c>
      <c r="H55">
        <v>0</v>
      </c>
    </row>
    <row r="56" spans="1:8" x14ac:dyDescent="0.35">
      <c r="A56">
        <v>65.58</v>
      </c>
      <c r="B56">
        <v>5.0599999999999996</v>
      </c>
      <c r="C56">
        <v>4.6399999999999997</v>
      </c>
      <c r="D56">
        <v>4.07</v>
      </c>
      <c r="E56">
        <v>0</v>
      </c>
      <c r="F56" t="s">
        <v>10</v>
      </c>
      <c r="G56" t="s">
        <v>13</v>
      </c>
      <c r="H56">
        <v>0</v>
      </c>
    </row>
    <row r="57" spans="1:8" x14ac:dyDescent="0.35">
      <c r="A57">
        <v>59.43</v>
      </c>
      <c r="B57">
        <v>6.24</v>
      </c>
      <c r="C57">
        <v>4.8099999999999996</v>
      </c>
      <c r="D57">
        <v>5.13</v>
      </c>
      <c r="E57">
        <v>20.95</v>
      </c>
      <c r="F57" t="s">
        <v>8</v>
      </c>
      <c r="G57" t="s">
        <v>11</v>
      </c>
      <c r="H57">
        <v>0</v>
      </c>
    </row>
    <row r="58" spans="1:8" x14ac:dyDescent="0.35">
      <c r="A58">
        <v>21.98</v>
      </c>
      <c r="B58">
        <v>7.76</v>
      </c>
      <c r="C58">
        <v>3.76</v>
      </c>
      <c r="D58">
        <v>10.71</v>
      </c>
      <c r="E58">
        <v>68.78</v>
      </c>
      <c r="F58" t="s">
        <v>10</v>
      </c>
      <c r="G58" t="s">
        <v>11</v>
      </c>
    </row>
    <row r="59" spans="1:8" x14ac:dyDescent="0.35">
      <c r="A59">
        <v>39.729999999999997</v>
      </c>
      <c r="B59">
        <v>8.1199999999999992</v>
      </c>
      <c r="C59">
        <v>5.79</v>
      </c>
      <c r="D59">
        <v>4.9400000000000004</v>
      </c>
      <c r="E59">
        <v>42.86</v>
      </c>
      <c r="F59" t="s">
        <v>10</v>
      </c>
      <c r="G59" t="s">
        <v>11</v>
      </c>
      <c r="H59">
        <v>0</v>
      </c>
    </row>
    <row r="60" spans="1:8" x14ac:dyDescent="0.35">
      <c r="A60">
        <v>30.79</v>
      </c>
      <c r="B60">
        <v>7.78</v>
      </c>
      <c r="C60">
        <v>0</v>
      </c>
      <c r="E60">
        <v>24.45</v>
      </c>
      <c r="F60" t="s">
        <v>8</v>
      </c>
      <c r="G60" t="s">
        <v>11</v>
      </c>
      <c r="H60">
        <v>0</v>
      </c>
    </row>
    <row r="61" spans="1:8" x14ac:dyDescent="0.35">
      <c r="A61">
        <v>22.9</v>
      </c>
      <c r="B61">
        <v>3.85</v>
      </c>
      <c r="C61">
        <v>1.24</v>
      </c>
      <c r="D61">
        <v>7.79</v>
      </c>
      <c r="E61">
        <v>21.57</v>
      </c>
      <c r="F61" t="s">
        <v>8</v>
      </c>
      <c r="G61" t="s">
        <v>13</v>
      </c>
      <c r="H61">
        <v>0</v>
      </c>
    </row>
    <row r="62" spans="1:8" x14ac:dyDescent="0.35">
      <c r="A62">
        <v>35.58</v>
      </c>
      <c r="B62">
        <v>7.97</v>
      </c>
      <c r="C62">
        <v>0</v>
      </c>
      <c r="D62">
        <v>4.45</v>
      </c>
      <c r="E62">
        <v>10.029999999999999</v>
      </c>
      <c r="F62" t="s">
        <v>10</v>
      </c>
      <c r="G62" t="s">
        <v>13</v>
      </c>
      <c r="H62">
        <v>0</v>
      </c>
    </row>
    <row r="63" spans="1:8" x14ac:dyDescent="0.35">
      <c r="A63">
        <v>31.83</v>
      </c>
      <c r="B63">
        <v>8.39</v>
      </c>
      <c r="C63">
        <v>2.4700000000000002</v>
      </c>
      <c r="D63">
        <v>5.8</v>
      </c>
      <c r="F63" t="s">
        <v>10</v>
      </c>
      <c r="G63" t="s">
        <v>11</v>
      </c>
      <c r="H63">
        <v>0</v>
      </c>
    </row>
    <row r="64" spans="1:8" x14ac:dyDescent="0.35">
      <c r="A64">
        <v>100</v>
      </c>
      <c r="C64">
        <v>0.49</v>
      </c>
      <c r="D64">
        <v>6.22</v>
      </c>
      <c r="E64">
        <v>26.1</v>
      </c>
      <c r="F64" t="s">
        <v>10</v>
      </c>
      <c r="G64" t="s">
        <v>12</v>
      </c>
      <c r="H64">
        <v>1</v>
      </c>
    </row>
    <row r="65" spans="1:8" x14ac:dyDescent="0.35">
      <c r="A65">
        <v>64.69</v>
      </c>
      <c r="B65">
        <v>3.03</v>
      </c>
      <c r="D65">
        <v>7.92</v>
      </c>
      <c r="E65">
        <v>24.64</v>
      </c>
      <c r="F65" t="s">
        <v>8</v>
      </c>
      <c r="G65" t="s">
        <v>12</v>
      </c>
      <c r="H65">
        <v>1</v>
      </c>
    </row>
    <row r="66" spans="1:8" x14ac:dyDescent="0.35">
      <c r="B66">
        <v>5.79</v>
      </c>
      <c r="C66">
        <v>1.02</v>
      </c>
      <c r="D66">
        <v>8.86</v>
      </c>
      <c r="E66">
        <v>15.28</v>
      </c>
      <c r="F66" t="s">
        <v>10</v>
      </c>
      <c r="G66" t="s">
        <v>13</v>
      </c>
      <c r="H66">
        <v>0</v>
      </c>
    </row>
    <row r="67" spans="1:8" x14ac:dyDescent="0.35">
      <c r="A67">
        <v>37.229999999999997</v>
      </c>
      <c r="B67">
        <v>8.33</v>
      </c>
      <c r="C67">
        <v>3.69</v>
      </c>
      <c r="D67">
        <v>7.82</v>
      </c>
      <c r="E67">
        <v>28.33</v>
      </c>
      <c r="F67" t="s">
        <v>8</v>
      </c>
      <c r="G67" t="s">
        <v>13</v>
      </c>
      <c r="H67">
        <v>0</v>
      </c>
    </row>
    <row r="68" spans="1:8" x14ac:dyDescent="0.35">
      <c r="A68">
        <v>40.21</v>
      </c>
      <c r="B68">
        <v>6.61</v>
      </c>
      <c r="C68">
        <v>0.52</v>
      </c>
      <c r="D68">
        <v>6.75</v>
      </c>
      <c r="E68">
        <v>21.27</v>
      </c>
      <c r="F68" t="s">
        <v>9</v>
      </c>
      <c r="G68" t="s">
        <v>11</v>
      </c>
      <c r="H68">
        <v>1</v>
      </c>
    </row>
    <row r="69" spans="1:8" x14ac:dyDescent="0.35">
      <c r="A69">
        <v>51.78</v>
      </c>
      <c r="B69">
        <v>5.0599999999999996</v>
      </c>
      <c r="D69">
        <v>9.61</v>
      </c>
      <c r="E69">
        <v>51.49</v>
      </c>
      <c r="F69" t="s">
        <v>10</v>
      </c>
      <c r="G69" t="s">
        <v>13</v>
      </c>
      <c r="H69">
        <v>0</v>
      </c>
    </row>
    <row r="70" spans="1:8" x14ac:dyDescent="0.35">
      <c r="A70">
        <v>72.31</v>
      </c>
      <c r="B70">
        <v>6.35</v>
      </c>
      <c r="C70">
        <v>3.18</v>
      </c>
      <c r="D70">
        <v>7.15</v>
      </c>
      <c r="E70">
        <v>18.829999999999998</v>
      </c>
      <c r="F70" t="s">
        <v>8</v>
      </c>
      <c r="G70" t="s">
        <v>11</v>
      </c>
      <c r="H70">
        <v>0</v>
      </c>
    </row>
    <row r="71" spans="1:8" x14ac:dyDescent="0.35">
      <c r="A71">
        <v>69.52</v>
      </c>
      <c r="B71">
        <v>4.09</v>
      </c>
      <c r="C71">
        <v>2.48</v>
      </c>
      <c r="D71">
        <v>1</v>
      </c>
      <c r="E71">
        <v>23.61</v>
      </c>
      <c r="F71" t="s">
        <v>8</v>
      </c>
      <c r="G71" t="s">
        <v>12</v>
      </c>
      <c r="H71">
        <v>0</v>
      </c>
    </row>
    <row r="72" spans="1:8" x14ac:dyDescent="0.35">
      <c r="A72">
        <v>34.21</v>
      </c>
      <c r="B72">
        <v>5.83</v>
      </c>
      <c r="C72">
        <v>4.2699999999999996</v>
      </c>
      <c r="D72">
        <v>9.0299999999999994</v>
      </c>
      <c r="E72">
        <v>36.35</v>
      </c>
      <c r="F72" t="s">
        <v>10</v>
      </c>
      <c r="G72" t="s">
        <v>13</v>
      </c>
      <c r="H72">
        <v>0</v>
      </c>
    </row>
    <row r="73" spans="1:8" x14ac:dyDescent="0.35">
      <c r="A73">
        <v>45.33</v>
      </c>
      <c r="B73">
        <v>5.74</v>
      </c>
      <c r="C73">
        <v>4.58</v>
      </c>
      <c r="D73">
        <v>3.66</v>
      </c>
      <c r="E73">
        <v>11.75</v>
      </c>
      <c r="G73" t="s">
        <v>13</v>
      </c>
      <c r="H73">
        <v>1</v>
      </c>
    </row>
    <row r="74" spans="1:8" x14ac:dyDescent="0.35">
      <c r="A74">
        <v>47.08</v>
      </c>
      <c r="B74">
        <v>5.1100000000000003</v>
      </c>
      <c r="C74">
        <v>3.79</v>
      </c>
      <c r="D74">
        <v>5.0999999999999996</v>
      </c>
      <c r="E74">
        <v>17.670000000000002</v>
      </c>
      <c r="F74" t="s">
        <v>8</v>
      </c>
      <c r="G74" t="s">
        <v>13</v>
      </c>
      <c r="H74">
        <v>0</v>
      </c>
    </row>
    <row r="75" spans="1:8" x14ac:dyDescent="0.35">
      <c r="A75">
        <v>51.76</v>
      </c>
      <c r="B75">
        <v>3.87</v>
      </c>
      <c r="C75">
        <v>0</v>
      </c>
      <c r="D75">
        <v>3.04</v>
      </c>
      <c r="E75">
        <v>59.05</v>
      </c>
      <c r="F75" t="s">
        <v>8</v>
      </c>
      <c r="G75" t="s">
        <v>13</v>
      </c>
      <c r="H75">
        <v>1</v>
      </c>
    </row>
    <row r="76" spans="1:8" x14ac:dyDescent="0.35">
      <c r="A76">
        <v>44.52</v>
      </c>
      <c r="B76">
        <v>4.76</v>
      </c>
      <c r="C76">
        <v>1.64</v>
      </c>
      <c r="D76">
        <v>5.66</v>
      </c>
      <c r="E76">
        <v>0</v>
      </c>
      <c r="F76" t="s">
        <v>8</v>
      </c>
      <c r="G76" t="s">
        <v>12</v>
      </c>
    </row>
    <row r="77" spans="1:8" x14ac:dyDescent="0.35">
      <c r="A77">
        <v>46.32</v>
      </c>
      <c r="B77">
        <v>7.52</v>
      </c>
      <c r="C77">
        <v>4.22</v>
      </c>
      <c r="D77">
        <v>6.8</v>
      </c>
      <c r="E77">
        <v>13.23</v>
      </c>
      <c r="F77" t="s">
        <v>8</v>
      </c>
      <c r="G77" t="s">
        <v>13</v>
      </c>
      <c r="H77">
        <v>1</v>
      </c>
    </row>
    <row r="78" spans="1:8" x14ac:dyDescent="0.35">
      <c r="A78">
        <v>57.28</v>
      </c>
      <c r="B78">
        <v>5.93</v>
      </c>
      <c r="C78">
        <v>2.2000000000000002</v>
      </c>
      <c r="D78">
        <v>8.16</v>
      </c>
      <c r="E78">
        <v>29.72</v>
      </c>
      <c r="F78" t="s">
        <v>9</v>
      </c>
      <c r="G78" t="s">
        <v>11</v>
      </c>
      <c r="H78">
        <v>0</v>
      </c>
    </row>
    <row r="79" spans="1:8" x14ac:dyDescent="0.35">
      <c r="A79">
        <v>51.48</v>
      </c>
      <c r="B79">
        <v>5.59</v>
      </c>
      <c r="C79">
        <v>2.57</v>
      </c>
      <c r="D79">
        <v>8.99</v>
      </c>
      <c r="E79">
        <v>43.37</v>
      </c>
      <c r="F79" t="s">
        <v>8</v>
      </c>
      <c r="G79" t="s">
        <v>11</v>
      </c>
      <c r="H79">
        <v>0</v>
      </c>
    </row>
    <row r="80" spans="1:8" x14ac:dyDescent="0.35">
      <c r="A80">
        <v>13.77</v>
      </c>
      <c r="B80">
        <v>4.37</v>
      </c>
      <c r="C80">
        <v>0</v>
      </c>
      <c r="D80">
        <v>1</v>
      </c>
      <c r="E80">
        <v>24.94</v>
      </c>
      <c r="F80" t="s">
        <v>9</v>
      </c>
      <c r="G80" t="s">
        <v>13</v>
      </c>
      <c r="H80">
        <v>0</v>
      </c>
    </row>
    <row r="81" spans="1:8" x14ac:dyDescent="0.35">
      <c r="A81">
        <v>5</v>
      </c>
      <c r="B81">
        <v>4.62</v>
      </c>
      <c r="C81">
        <v>2.3199999999999998</v>
      </c>
      <c r="D81">
        <v>8.6</v>
      </c>
      <c r="E81">
        <v>26.39</v>
      </c>
      <c r="F81" t="s">
        <v>9</v>
      </c>
      <c r="G81" t="s">
        <v>11</v>
      </c>
      <c r="H81">
        <v>1</v>
      </c>
    </row>
    <row r="82" spans="1:8" x14ac:dyDescent="0.35">
      <c r="A82">
        <v>19.11</v>
      </c>
      <c r="B82">
        <v>2.39</v>
      </c>
      <c r="C82">
        <v>1.49</v>
      </c>
      <c r="D82">
        <v>5.94</v>
      </c>
      <c r="E82">
        <v>18.559999999999999</v>
      </c>
      <c r="F82" t="s">
        <v>10</v>
      </c>
      <c r="G82" t="s">
        <v>11</v>
      </c>
      <c r="H82">
        <v>0</v>
      </c>
    </row>
    <row r="83" spans="1:8" x14ac:dyDescent="0.35">
      <c r="A83">
        <v>34.75</v>
      </c>
      <c r="B83">
        <v>6.76</v>
      </c>
      <c r="D83">
        <v>8.51</v>
      </c>
      <c r="E83">
        <v>22.49</v>
      </c>
      <c r="F83" t="s">
        <v>10</v>
      </c>
      <c r="G83" t="s">
        <v>11</v>
      </c>
      <c r="H83">
        <v>0</v>
      </c>
    </row>
    <row r="84" spans="1:8" x14ac:dyDescent="0.35">
      <c r="A84">
        <v>27.71</v>
      </c>
      <c r="B84">
        <v>4.03</v>
      </c>
      <c r="C84">
        <v>1.56</v>
      </c>
      <c r="D84">
        <v>7.32</v>
      </c>
      <c r="E84">
        <v>32.369999999999997</v>
      </c>
      <c r="F84" t="s">
        <v>9</v>
      </c>
      <c r="G84" t="s">
        <v>12</v>
      </c>
      <c r="H84">
        <v>0</v>
      </c>
    </row>
    <row r="85" spans="1:8" x14ac:dyDescent="0.35">
      <c r="A85">
        <v>60.21</v>
      </c>
      <c r="B85">
        <v>8.01</v>
      </c>
      <c r="C85">
        <v>5.24</v>
      </c>
      <c r="D85">
        <v>3.75</v>
      </c>
      <c r="E85">
        <v>30.26</v>
      </c>
      <c r="F85" t="s">
        <v>10</v>
      </c>
      <c r="H85">
        <v>0</v>
      </c>
    </row>
    <row r="86" spans="1:8" x14ac:dyDescent="0.35">
      <c r="A86">
        <v>18.03</v>
      </c>
      <c r="B86">
        <v>6.53</v>
      </c>
      <c r="C86">
        <v>4.0199999999999996</v>
      </c>
      <c r="D86">
        <v>7.77</v>
      </c>
      <c r="E86">
        <v>27.95</v>
      </c>
      <c r="F86" t="s">
        <v>10</v>
      </c>
      <c r="G86" t="s">
        <v>12</v>
      </c>
      <c r="H86">
        <v>0</v>
      </c>
    </row>
    <row r="87" spans="1:8" x14ac:dyDescent="0.35">
      <c r="A87">
        <v>71.23</v>
      </c>
      <c r="B87">
        <v>7.46</v>
      </c>
      <c r="C87">
        <v>0.66</v>
      </c>
      <c r="D87">
        <v>3.95</v>
      </c>
      <c r="E87">
        <v>50.87</v>
      </c>
      <c r="F87" t="s">
        <v>9</v>
      </c>
      <c r="G87" t="s">
        <v>12</v>
      </c>
      <c r="H87">
        <v>1</v>
      </c>
    </row>
    <row r="88" spans="1:8" x14ac:dyDescent="0.35">
      <c r="A88">
        <v>80.38</v>
      </c>
      <c r="B88">
        <v>5.14</v>
      </c>
      <c r="C88">
        <v>5.39</v>
      </c>
      <c r="D88">
        <v>6.11</v>
      </c>
      <c r="E88">
        <v>45.57</v>
      </c>
      <c r="F88" t="s">
        <v>8</v>
      </c>
      <c r="G88" t="s">
        <v>11</v>
      </c>
      <c r="H88">
        <v>0</v>
      </c>
    </row>
    <row r="89" spans="1:8" x14ac:dyDescent="0.35">
      <c r="A89">
        <v>45.72</v>
      </c>
      <c r="B89">
        <v>7.37</v>
      </c>
      <c r="C89">
        <v>1.17</v>
      </c>
      <c r="D89">
        <v>3.34</v>
      </c>
      <c r="E89">
        <v>27.55</v>
      </c>
      <c r="F89" t="s">
        <v>8</v>
      </c>
      <c r="G89" t="s">
        <v>12</v>
      </c>
      <c r="H89">
        <v>0</v>
      </c>
    </row>
    <row r="90" spans="1:8" x14ac:dyDescent="0.35">
      <c r="A90">
        <v>9.86</v>
      </c>
      <c r="B90">
        <v>6.45</v>
      </c>
      <c r="C90">
        <v>0</v>
      </c>
      <c r="D90">
        <v>4</v>
      </c>
      <c r="E90">
        <v>38.28</v>
      </c>
      <c r="F90" t="s">
        <v>10</v>
      </c>
      <c r="G90" t="s">
        <v>11</v>
      </c>
      <c r="H90">
        <v>0</v>
      </c>
    </row>
    <row r="91" spans="1:8" x14ac:dyDescent="0.35">
      <c r="A91">
        <v>59.8</v>
      </c>
      <c r="B91">
        <v>9.9</v>
      </c>
      <c r="C91">
        <v>1.88</v>
      </c>
      <c r="D91">
        <v>10.69</v>
      </c>
      <c r="E91">
        <v>37.9</v>
      </c>
      <c r="F91" t="s">
        <v>8</v>
      </c>
      <c r="G91" t="s">
        <v>12</v>
      </c>
      <c r="H91">
        <v>0</v>
      </c>
    </row>
    <row r="92" spans="1:8" x14ac:dyDescent="0.35">
      <c r="A92">
        <v>65.64</v>
      </c>
      <c r="B92">
        <v>5.28</v>
      </c>
      <c r="C92">
        <v>0.77</v>
      </c>
      <c r="D92">
        <v>6.16</v>
      </c>
      <c r="E92">
        <v>57.82</v>
      </c>
      <c r="F92" t="s">
        <v>8</v>
      </c>
      <c r="G92" t="s">
        <v>11</v>
      </c>
      <c r="H92">
        <v>0</v>
      </c>
    </row>
    <row r="93" spans="1:8" x14ac:dyDescent="0.35">
      <c r="A93">
        <v>38.75</v>
      </c>
      <c r="B93">
        <v>7.06</v>
      </c>
      <c r="C93">
        <v>4.2699999999999996</v>
      </c>
      <c r="D93">
        <v>8.4</v>
      </c>
      <c r="E93">
        <v>42.4</v>
      </c>
      <c r="F93" t="s">
        <v>10</v>
      </c>
      <c r="H93">
        <v>0</v>
      </c>
    </row>
    <row r="94" spans="1:8" x14ac:dyDescent="0.35">
      <c r="A94">
        <v>50.7</v>
      </c>
      <c r="B94">
        <v>7.19</v>
      </c>
      <c r="C94">
        <v>3.11</v>
      </c>
      <c r="D94">
        <v>4.55</v>
      </c>
      <c r="E94">
        <v>51.35</v>
      </c>
      <c r="F94" t="s">
        <v>10</v>
      </c>
      <c r="G94" t="s">
        <v>13</v>
      </c>
      <c r="H94">
        <v>0</v>
      </c>
    </row>
    <row r="95" spans="1:8" x14ac:dyDescent="0.35">
      <c r="A95">
        <v>53.09</v>
      </c>
      <c r="B95">
        <v>5.21</v>
      </c>
      <c r="C95">
        <v>2.4</v>
      </c>
      <c r="D95">
        <v>11.16</v>
      </c>
      <c r="E95">
        <v>26.25</v>
      </c>
      <c r="F95" t="s">
        <v>10</v>
      </c>
      <c r="G95" t="s">
        <v>11</v>
      </c>
      <c r="H95">
        <v>1</v>
      </c>
    </row>
    <row r="96" spans="1:8" x14ac:dyDescent="0.35">
      <c r="A96">
        <v>82.53</v>
      </c>
      <c r="B96">
        <v>6.07</v>
      </c>
      <c r="C96">
        <v>7.59</v>
      </c>
      <c r="D96">
        <v>8.08</v>
      </c>
      <c r="E96">
        <v>34.049999999999997</v>
      </c>
      <c r="F96" t="s">
        <v>10</v>
      </c>
      <c r="G96" t="s">
        <v>11</v>
      </c>
      <c r="H96">
        <v>1</v>
      </c>
    </row>
    <row r="97" spans="1:8" x14ac:dyDescent="0.35">
      <c r="B97">
        <v>5.33</v>
      </c>
      <c r="C97">
        <v>6.01</v>
      </c>
      <c r="D97">
        <v>13.12</v>
      </c>
      <c r="E97">
        <v>46.36</v>
      </c>
      <c r="F97" t="s">
        <v>9</v>
      </c>
      <c r="G97" t="s">
        <v>11</v>
      </c>
      <c r="H97">
        <v>0</v>
      </c>
    </row>
    <row r="98" spans="1:8" x14ac:dyDescent="0.35">
      <c r="A98">
        <v>37.99</v>
      </c>
      <c r="B98">
        <v>2.0099999999999998</v>
      </c>
      <c r="C98">
        <v>2.4500000000000002</v>
      </c>
      <c r="D98">
        <v>8.93</v>
      </c>
      <c r="E98">
        <v>28.24</v>
      </c>
      <c r="F98" t="s">
        <v>9</v>
      </c>
      <c r="G98" t="s">
        <v>12</v>
      </c>
      <c r="H98">
        <v>0</v>
      </c>
    </row>
    <row r="99" spans="1:8" x14ac:dyDescent="0.35">
      <c r="A99">
        <v>29.1</v>
      </c>
      <c r="B99">
        <v>6.66</v>
      </c>
      <c r="C99">
        <v>5.31</v>
      </c>
      <c r="D99">
        <v>5.19</v>
      </c>
      <c r="E99">
        <v>45.51</v>
      </c>
      <c r="F99" t="s">
        <v>8</v>
      </c>
      <c r="G99" t="s">
        <v>12</v>
      </c>
      <c r="H99">
        <v>0</v>
      </c>
    </row>
    <row r="100" spans="1:8" x14ac:dyDescent="0.35">
      <c r="A100">
        <v>40.299999999999997</v>
      </c>
      <c r="B100">
        <v>7.1</v>
      </c>
      <c r="C100">
        <v>3.31</v>
      </c>
      <c r="D100">
        <v>10.51</v>
      </c>
      <c r="E100">
        <v>50.39</v>
      </c>
      <c r="F100" t="s">
        <v>10</v>
      </c>
      <c r="G100" t="s">
        <v>11</v>
      </c>
      <c r="H100">
        <v>0</v>
      </c>
    </row>
    <row r="101" spans="1:8" x14ac:dyDescent="0.35">
      <c r="A101">
        <v>63.01</v>
      </c>
      <c r="B101">
        <v>8.18</v>
      </c>
      <c r="C101">
        <v>0</v>
      </c>
      <c r="D101">
        <v>6.27</v>
      </c>
      <c r="E101">
        <v>45.12</v>
      </c>
      <c r="F101" t="s">
        <v>9</v>
      </c>
      <c r="G101" t="s">
        <v>13</v>
      </c>
      <c r="H101">
        <v>0</v>
      </c>
    </row>
    <row r="102" spans="1:8" x14ac:dyDescent="0.35">
      <c r="A102">
        <v>42.42</v>
      </c>
      <c r="B102">
        <v>2.77</v>
      </c>
      <c r="C102">
        <v>0</v>
      </c>
      <c r="D102">
        <v>5.09</v>
      </c>
      <c r="E102">
        <v>36.14</v>
      </c>
      <c r="F102" t="s">
        <v>8</v>
      </c>
      <c r="G102" t="s">
        <v>12</v>
      </c>
      <c r="H102">
        <v>1</v>
      </c>
    </row>
    <row r="103" spans="1:8" x14ac:dyDescent="0.35">
      <c r="A103">
        <v>87.33</v>
      </c>
      <c r="B103">
        <v>6.71</v>
      </c>
      <c r="C103">
        <v>4.99</v>
      </c>
      <c r="D103">
        <v>8.58</v>
      </c>
      <c r="E103">
        <v>25.58</v>
      </c>
      <c r="F103" t="s">
        <v>10</v>
      </c>
      <c r="G103" t="s">
        <v>11</v>
      </c>
      <c r="H103">
        <v>0</v>
      </c>
    </row>
    <row r="104" spans="1:8" x14ac:dyDescent="0.35">
      <c r="A104">
        <v>8.3800000000000008</v>
      </c>
      <c r="B104">
        <v>4.6399999999999997</v>
      </c>
      <c r="C104">
        <v>9.5500000000000007</v>
      </c>
      <c r="D104">
        <v>12.04</v>
      </c>
      <c r="E104">
        <v>38.090000000000003</v>
      </c>
      <c r="F104" t="s">
        <v>10</v>
      </c>
      <c r="G104" t="s">
        <v>12</v>
      </c>
      <c r="H104">
        <v>0</v>
      </c>
    </row>
    <row r="105" spans="1:8" x14ac:dyDescent="0.35">
      <c r="A105">
        <v>59.98</v>
      </c>
      <c r="B105">
        <v>3.37</v>
      </c>
      <c r="C105">
        <v>5.71</v>
      </c>
      <c r="D105">
        <v>2.85</v>
      </c>
      <c r="E105">
        <v>28.14</v>
      </c>
      <c r="F105" t="s">
        <v>10</v>
      </c>
      <c r="G105" t="s">
        <v>11</v>
      </c>
      <c r="H105">
        <v>0</v>
      </c>
    </row>
    <row r="106" spans="1:8" x14ac:dyDescent="0.35">
      <c r="A106">
        <v>37.659999999999997</v>
      </c>
      <c r="B106">
        <v>4.79</v>
      </c>
      <c r="C106">
        <v>3.32</v>
      </c>
      <c r="D106">
        <v>8.5500000000000007</v>
      </c>
      <c r="E106">
        <v>0</v>
      </c>
      <c r="F106" t="s">
        <v>8</v>
      </c>
      <c r="G106" t="s">
        <v>13</v>
      </c>
      <c r="H106">
        <v>0</v>
      </c>
    </row>
    <row r="107" spans="1:8" x14ac:dyDescent="0.35">
      <c r="A107">
        <v>62.44</v>
      </c>
      <c r="B107">
        <v>7.93</v>
      </c>
      <c r="C107">
        <v>2.13</v>
      </c>
      <c r="D107">
        <v>7.24</v>
      </c>
      <c r="E107">
        <v>26.13</v>
      </c>
      <c r="F107" t="s">
        <v>9</v>
      </c>
      <c r="G107" t="s">
        <v>11</v>
      </c>
      <c r="H107">
        <v>1</v>
      </c>
    </row>
    <row r="108" spans="1:8" x14ac:dyDescent="0.35">
      <c r="A108">
        <v>28.64</v>
      </c>
      <c r="B108">
        <v>7.05</v>
      </c>
      <c r="C108">
        <v>4.7699999999999996</v>
      </c>
      <c r="D108">
        <v>9.5</v>
      </c>
      <c r="E108">
        <v>23.07</v>
      </c>
      <c r="F108" t="s">
        <v>9</v>
      </c>
      <c r="G108" t="s">
        <v>11</v>
      </c>
      <c r="H108">
        <v>0</v>
      </c>
    </row>
    <row r="109" spans="1:8" x14ac:dyDescent="0.35">
      <c r="A109">
        <v>53.21</v>
      </c>
      <c r="B109">
        <v>4.7300000000000004</v>
      </c>
      <c r="C109">
        <v>0.67</v>
      </c>
      <c r="D109">
        <v>8.06</v>
      </c>
      <c r="E109">
        <v>24.1</v>
      </c>
      <c r="F109" t="s">
        <v>8</v>
      </c>
      <c r="G109" t="s">
        <v>13</v>
      </c>
      <c r="H109">
        <v>1</v>
      </c>
    </row>
    <row r="110" spans="1:8" x14ac:dyDescent="0.35">
      <c r="B110">
        <v>6.85</v>
      </c>
      <c r="C110">
        <v>4.29</v>
      </c>
      <c r="D110">
        <v>5.0599999999999996</v>
      </c>
      <c r="E110">
        <v>42.02</v>
      </c>
      <c r="F110" t="s">
        <v>9</v>
      </c>
      <c r="G110" t="s">
        <v>11</v>
      </c>
      <c r="H110">
        <v>0</v>
      </c>
    </row>
    <row r="111" spans="1:8" x14ac:dyDescent="0.35">
      <c r="A111">
        <v>72.400000000000006</v>
      </c>
      <c r="B111">
        <v>8.51</v>
      </c>
      <c r="C111">
        <v>2.31</v>
      </c>
      <c r="D111">
        <v>6.12</v>
      </c>
      <c r="E111">
        <v>52.28</v>
      </c>
      <c r="F111" t="s">
        <v>9</v>
      </c>
      <c r="G111" t="s">
        <v>11</v>
      </c>
      <c r="H111">
        <v>0</v>
      </c>
    </row>
    <row r="112" spans="1:8" x14ac:dyDescent="0.35">
      <c r="B112">
        <v>7.05</v>
      </c>
      <c r="C112">
        <v>0.95</v>
      </c>
      <c r="D112">
        <v>3.94</v>
      </c>
      <c r="E112">
        <v>27.57</v>
      </c>
      <c r="F112" t="s">
        <v>10</v>
      </c>
      <c r="G112" t="s">
        <v>13</v>
      </c>
      <c r="H112">
        <v>0</v>
      </c>
    </row>
    <row r="113" spans="1:8" x14ac:dyDescent="0.35">
      <c r="A113">
        <v>77.010000000000005</v>
      </c>
      <c r="B113">
        <v>9.83</v>
      </c>
      <c r="C113">
        <v>2.33</v>
      </c>
      <c r="D113">
        <v>8.85</v>
      </c>
      <c r="E113">
        <v>17.2</v>
      </c>
      <c r="F113" t="s">
        <v>10</v>
      </c>
      <c r="G113" t="s">
        <v>13</v>
      </c>
      <c r="H113">
        <v>0</v>
      </c>
    </row>
    <row r="114" spans="1:8" x14ac:dyDescent="0.35">
      <c r="A114">
        <v>52.27</v>
      </c>
      <c r="B114">
        <v>4.68</v>
      </c>
      <c r="C114">
        <v>4.26</v>
      </c>
      <c r="E114">
        <v>20.23</v>
      </c>
      <c r="F114" t="s">
        <v>9</v>
      </c>
      <c r="G114" t="s">
        <v>13</v>
      </c>
      <c r="H114">
        <v>0</v>
      </c>
    </row>
    <row r="115" spans="1:8" x14ac:dyDescent="0.35">
      <c r="A115">
        <v>38.69</v>
      </c>
      <c r="B115">
        <v>8.75</v>
      </c>
      <c r="C115">
        <v>3.47</v>
      </c>
      <c r="D115">
        <v>4.82</v>
      </c>
      <c r="E115">
        <v>0</v>
      </c>
      <c r="F115" t="s">
        <v>8</v>
      </c>
      <c r="G115" t="s">
        <v>12</v>
      </c>
      <c r="H115">
        <v>1</v>
      </c>
    </row>
    <row r="116" spans="1:8" x14ac:dyDescent="0.35">
      <c r="A116">
        <v>46.98</v>
      </c>
      <c r="B116">
        <v>7.18</v>
      </c>
      <c r="C116">
        <v>1.93</v>
      </c>
      <c r="D116">
        <v>9.9499999999999993</v>
      </c>
      <c r="E116">
        <v>0</v>
      </c>
      <c r="F116" t="s">
        <v>8</v>
      </c>
      <c r="G116" t="s">
        <v>11</v>
      </c>
      <c r="H116">
        <v>1</v>
      </c>
    </row>
    <row r="117" spans="1:8" x14ac:dyDescent="0.35">
      <c r="A117">
        <v>50.13</v>
      </c>
      <c r="B117">
        <v>6.16</v>
      </c>
      <c r="C117">
        <v>2.0699999999999998</v>
      </c>
      <c r="D117">
        <v>6.94</v>
      </c>
      <c r="E117">
        <v>9.83</v>
      </c>
      <c r="F117" t="s">
        <v>9</v>
      </c>
      <c r="G117" t="s">
        <v>11</v>
      </c>
      <c r="H117">
        <v>1</v>
      </c>
    </row>
    <row r="118" spans="1:8" x14ac:dyDescent="0.35">
      <c r="A118">
        <v>69.83</v>
      </c>
      <c r="B118">
        <v>4.5</v>
      </c>
      <c r="D118">
        <v>10.210000000000001</v>
      </c>
      <c r="E118">
        <v>33.99</v>
      </c>
      <c r="F118" t="s">
        <v>8</v>
      </c>
      <c r="G118" t="s">
        <v>11</v>
      </c>
      <c r="H118">
        <v>1</v>
      </c>
    </row>
    <row r="119" spans="1:8" x14ac:dyDescent="0.35">
      <c r="A119">
        <v>32.92</v>
      </c>
      <c r="C119">
        <v>1.55</v>
      </c>
      <c r="D119">
        <v>9.2200000000000006</v>
      </c>
      <c r="E119">
        <v>63.34</v>
      </c>
      <c r="F119" t="s">
        <v>9</v>
      </c>
      <c r="G119" t="s">
        <v>12</v>
      </c>
      <c r="H119">
        <v>0</v>
      </c>
    </row>
    <row r="120" spans="1:8" x14ac:dyDescent="0.35">
      <c r="A120">
        <v>62.35</v>
      </c>
      <c r="B120">
        <v>6.51</v>
      </c>
      <c r="C120">
        <v>2.5</v>
      </c>
      <c r="D120">
        <v>7.93</v>
      </c>
      <c r="E120">
        <v>3.68</v>
      </c>
      <c r="F120" t="s">
        <v>10</v>
      </c>
      <c r="G120" t="s">
        <v>13</v>
      </c>
      <c r="H120">
        <v>0</v>
      </c>
    </row>
    <row r="121" spans="1:8" x14ac:dyDescent="0.35">
      <c r="A121">
        <v>71.56</v>
      </c>
      <c r="B121">
        <v>2.84</v>
      </c>
      <c r="C121">
        <v>3.05</v>
      </c>
      <c r="D121">
        <v>6.93</v>
      </c>
      <c r="E121">
        <v>48.72</v>
      </c>
      <c r="F121" t="s">
        <v>10</v>
      </c>
      <c r="G121" t="s">
        <v>13</v>
      </c>
      <c r="H121">
        <v>1</v>
      </c>
    </row>
    <row r="122" spans="1:8" x14ac:dyDescent="0.35">
      <c r="A122">
        <v>44.1</v>
      </c>
      <c r="C122">
        <v>7.74</v>
      </c>
      <c r="D122">
        <v>11.07</v>
      </c>
      <c r="E122">
        <v>53.74</v>
      </c>
      <c r="F122" t="s">
        <v>10</v>
      </c>
      <c r="G122" t="s">
        <v>11</v>
      </c>
      <c r="H122">
        <v>0</v>
      </c>
    </row>
    <row r="123" spans="1:8" x14ac:dyDescent="0.35">
      <c r="A123">
        <v>48.12</v>
      </c>
      <c r="B123">
        <v>3.65</v>
      </c>
      <c r="C123">
        <v>5.0599999999999996</v>
      </c>
      <c r="D123">
        <v>3.27</v>
      </c>
      <c r="E123">
        <v>30.43</v>
      </c>
      <c r="F123" t="s">
        <v>8</v>
      </c>
      <c r="G123" t="s">
        <v>11</v>
      </c>
      <c r="H123">
        <v>1</v>
      </c>
    </row>
    <row r="124" spans="1:8" x14ac:dyDescent="0.35">
      <c r="A124">
        <v>51.55</v>
      </c>
      <c r="B124">
        <v>5.07</v>
      </c>
      <c r="C124">
        <v>4.21</v>
      </c>
      <c r="D124">
        <v>6.68</v>
      </c>
      <c r="E124">
        <v>19.89</v>
      </c>
      <c r="F124" t="s">
        <v>9</v>
      </c>
      <c r="G124" t="s">
        <v>12</v>
      </c>
    </row>
    <row r="125" spans="1:8" x14ac:dyDescent="0.35">
      <c r="A125">
        <v>11.8</v>
      </c>
      <c r="B125">
        <v>9.2899999999999991</v>
      </c>
      <c r="C125">
        <v>7.44</v>
      </c>
      <c r="D125">
        <v>8.74</v>
      </c>
      <c r="E125">
        <v>1.77</v>
      </c>
      <c r="F125" t="s">
        <v>10</v>
      </c>
      <c r="G125" t="s">
        <v>13</v>
      </c>
      <c r="H125">
        <v>0</v>
      </c>
    </row>
    <row r="126" spans="1:8" x14ac:dyDescent="0.35">
      <c r="A126">
        <v>22.09</v>
      </c>
      <c r="B126">
        <v>8.2200000000000006</v>
      </c>
      <c r="C126">
        <v>1.65</v>
      </c>
      <c r="D126">
        <v>8.76</v>
      </c>
      <c r="E126">
        <v>23.13</v>
      </c>
      <c r="F126" t="s">
        <v>8</v>
      </c>
      <c r="G126" t="s">
        <v>11</v>
      </c>
      <c r="H126">
        <v>0</v>
      </c>
    </row>
    <row r="127" spans="1:8" x14ac:dyDescent="0.35">
      <c r="A127">
        <v>67.42</v>
      </c>
      <c r="B127">
        <v>7.14</v>
      </c>
      <c r="C127">
        <v>0.81</v>
      </c>
      <c r="D127">
        <v>6.85</v>
      </c>
      <c r="E127">
        <v>23.09</v>
      </c>
      <c r="F127" t="s">
        <v>10</v>
      </c>
      <c r="G127" t="s">
        <v>11</v>
      </c>
      <c r="H127">
        <v>0</v>
      </c>
    </row>
    <row r="128" spans="1:8" x14ac:dyDescent="0.35">
      <c r="A128">
        <v>19.809999999999999</v>
      </c>
      <c r="B128">
        <v>4.1100000000000003</v>
      </c>
      <c r="C128">
        <v>2.7</v>
      </c>
      <c r="D128">
        <v>9.6199999999999992</v>
      </c>
      <c r="E128">
        <v>38.36</v>
      </c>
      <c r="F128" t="s">
        <v>9</v>
      </c>
      <c r="G128" t="s">
        <v>12</v>
      </c>
      <c r="H128">
        <v>0</v>
      </c>
    </row>
    <row r="129" spans="1:8" x14ac:dyDescent="0.35">
      <c r="A129">
        <v>63.49</v>
      </c>
      <c r="B129">
        <v>7.2</v>
      </c>
      <c r="C129">
        <v>4.92</v>
      </c>
      <c r="D129">
        <v>5.98</v>
      </c>
      <c r="E129">
        <v>28</v>
      </c>
      <c r="F129" t="s">
        <v>10</v>
      </c>
      <c r="G129" t="s">
        <v>11</v>
      </c>
      <c r="H129">
        <v>0</v>
      </c>
    </row>
    <row r="130" spans="1:8" x14ac:dyDescent="0.35">
      <c r="A130">
        <v>59.71</v>
      </c>
      <c r="C130">
        <v>1.84</v>
      </c>
      <c r="D130">
        <v>8.86</v>
      </c>
      <c r="E130">
        <v>30.5</v>
      </c>
      <c r="F130" t="s">
        <v>9</v>
      </c>
      <c r="G130" t="s">
        <v>13</v>
      </c>
      <c r="H130">
        <v>1</v>
      </c>
    </row>
    <row r="131" spans="1:8" x14ac:dyDescent="0.35">
      <c r="B131">
        <v>8.3699999999999992</v>
      </c>
      <c r="C131">
        <v>0.67</v>
      </c>
      <c r="D131">
        <v>6.26</v>
      </c>
      <c r="E131">
        <v>30.96</v>
      </c>
      <c r="F131" t="s">
        <v>8</v>
      </c>
      <c r="G131" t="s">
        <v>11</v>
      </c>
      <c r="H131">
        <v>0</v>
      </c>
    </row>
    <row r="132" spans="1:8" x14ac:dyDescent="0.35">
      <c r="A132">
        <v>91.02</v>
      </c>
      <c r="B132">
        <v>1.24</v>
      </c>
      <c r="C132">
        <v>0</v>
      </c>
      <c r="E132">
        <v>19.93</v>
      </c>
      <c r="G132" t="s">
        <v>11</v>
      </c>
      <c r="H132">
        <v>1</v>
      </c>
    </row>
    <row r="133" spans="1:8" x14ac:dyDescent="0.35">
      <c r="A133">
        <v>20.260000000000002</v>
      </c>
      <c r="B133">
        <v>3.52</v>
      </c>
      <c r="C133">
        <v>4.0599999999999996</v>
      </c>
      <c r="D133">
        <v>7.46</v>
      </c>
      <c r="E133">
        <v>22.17</v>
      </c>
      <c r="F133" t="s">
        <v>10</v>
      </c>
      <c r="G133" t="s">
        <v>13</v>
      </c>
      <c r="H133">
        <v>0</v>
      </c>
    </row>
    <row r="134" spans="1:8" x14ac:dyDescent="0.35">
      <c r="B134">
        <v>8.3699999999999992</v>
      </c>
      <c r="C134">
        <v>1.42</v>
      </c>
      <c r="D134">
        <v>3.71</v>
      </c>
      <c r="E134">
        <v>47.32</v>
      </c>
      <c r="F134" t="s">
        <v>9</v>
      </c>
      <c r="G134" t="s">
        <v>12</v>
      </c>
      <c r="H134">
        <v>1</v>
      </c>
    </row>
    <row r="135" spans="1:8" x14ac:dyDescent="0.35">
      <c r="A135">
        <v>64.05</v>
      </c>
      <c r="B135">
        <v>5.41</v>
      </c>
      <c r="C135">
        <v>4.8499999999999996</v>
      </c>
      <c r="D135">
        <v>1.76</v>
      </c>
      <c r="E135">
        <v>22.41</v>
      </c>
      <c r="F135" t="s">
        <v>10</v>
      </c>
      <c r="G135" t="s">
        <v>13</v>
      </c>
      <c r="H135">
        <v>0</v>
      </c>
    </row>
    <row r="136" spans="1:8" x14ac:dyDescent="0.35">
      <c r="A136">
        <v>49.11</v>
      </c>
      <c r="B136">
        <v>5.3</v>
      </c>
      <c r="C136">
        <v>5.16</v>
      </c>
      <c r="D136">
        <v>9</v>
      </c>
      <c r="E136">
        <v>20.48</v>
      </c>
      <c r="F136" t="s">
        <v>8</v>
      </c>
      <c r="G136" t="s">
        <v>11</v>
      </c>
      <c r="H136">
        <v>0</v>
      </c>
    </row>
    <row r="137" spans="1:8" x14ac:dyDescent="0.35">
      <c r="A137">
        <v>33.72</v>
      </c>
      <c r="B137">
        <v>4.29</v>
      </c>
      <c r="C137">
        <v>2.11</v>
      </c>
      <c r="D137">
        <v>9.18</v>
      </c>
      <c r="E137">
        <v>34.22</v>
      </c>
      <c r="F137" t="s">
        <v>8</v>
      </c>
      <c r="G137" t="s">
        <v>11</v>
      </c>
    </row>
    <row r="138" spans="1:8" x14ac:dyDescent="0.35">
      <c r="A138">
        <v>18.46</v>
      </c>
      <c r="C138">
        <v>5.53</v>
      </c>
      <c r="D138">
        <v>7.75</v>
      </c>
      <c r="E138">
        <v>21.37</v>
      </c>
      <c r="F138" t="s">
        <v>9</v>
      </c>
      <c r="G138" t="s">
        <v>13</v>
      </c>
      <c r="H138">
        <v>0</v>
      </c>
    </row>
    <row r="139" spans="1:8" x14ac:dyDescent="0.35">
      <c r="A139">
        <v>73.02</v>
      </c>
      <c r="B139">
        <v>6.82</v>
      </c>
      <c r="C139">
        <v>0.28000000000000003</v>
      </c>
      <c r="D139">
        <v>6.25</v>
      </c>
      <c r="E139">
        <v>44.21</v>
      </c>
      <c r="F139" t="s">
        <v>8</v>
      </c>
      <c r="G139" t="s">
        <v>12</v>
      </c>
      <c r="H139">
        <v>1</v>
      </c>
    </row>
    <row r="140" spans="1:8" x14ac:dyDescent="0.35">
      <c r="A140">
        <v>40.26</v>
      </c>
      <c r="B140">
        <v>8.36</v>
      </c>
      <c r="C140">
        <v>4.59</v>
      </c>
      <c r="D140">
        <v>7.18</v>
      </c>
      <c r="E140">
        <v>31.42</v>
      </c>
      <c r="F140" t="s">
        <v>9</v>
      </c>
      <c r="G140" t="s">
        <v>13</v>
      </c>
      <c r="H140">
        <v>0</v>
      </c>
    </row>
    <row r="141" spans="1:8" x14ac:dyDescent="0.35">
      <c r="A141">
        <v>42.94</v>
      </c>
      <c r="B141">
        <v>8.43</v>
      </c>
      <c r="C141">
        <v>3.65</v>
      </c>
      <c r="D141">
        <v>6.6</v>
      </c>
      <c r="E141">
        <v>37.130000000000003</v>
      </c>
      <c r="F141" t="s">
        <v>10</v>
      </c>
      <c r="G141" t="s">
        <v>13</v>
      </c>
      <c r="H141">
        <v>0</v>
      </c>
    </row>
    <row r="142" spans="1:8" x14ac:dyDescent="0.35">
      <c r="A142">
        <v>47.95</v>
      </c>
      <c r="B142">
        <v>6.55</v>
      </c>
      <c r="C142">
        <v>2.75</v>
      </c>
      <c r="D142">
        <v>1</v>
      </c>
      <c r="E142">
        <v>47.22</v>
      </c>
      <c r="F142" t="s">
        <v>10</v>
      </c>
      <c r="G142" t="s">
        <v>11</v>
      </c>
      <c r="H142">
        <v>0</v>
      </c>
    </row>
    <row r="143" spans="1:8" x14ac:dyDescent="0.35">
      <c r="A143">
        <v>20.16</v>
      </c>
      <c r="B143">
        <v>8.8000000000000007</v>
      </c>
      <c r="C143">
        <v>4.1500000000000004</v>
      </c>
      <c r="D143">
        <v>2.98</v>
      </c>
      <c r="E143">
        <v>30.4</v>
      </c>
      <c r="F143" t="s">
        <v>9</v>
      </c>
      <c r="G143" t="s">
        <v>13</v>
      </c>
      <c r="H143">
        <v>0</v>
      </c>
    </row>
    <row r="144" spans="1:8" x14ac:dyDescent="0.35">
      <c r="A144">
        <v>51.97</v>
      </c>
      <c r="B144">
        <v>1</v>
      </c>
      <c r="C144">
        <v>1.35</v>
      </c>
      <c r="D144">
        <v>5.0199999999999996</v>
      </c>
      <c r="E144">
        <v>20.48</v>
      </c>
      <c r="F144" t="s">
        <v>9</v>
      </c>
      <c r="G144" t="s">
        <v>12</v>
      </c>
      <c r="H144">
        <v>1</v>
      </c>
    </row>
    <row r="145" spans="1:8" x14ac:dyDescent="0.35">
      <c r="A145">
        <v>60.64</v>
      </c>
      <c r="B145">
        <v>8.4600000000000009</v>
      </c>
      <c r="C145">
        <v>1.1000000000000001</v>
      </c>
      <c r="D145">
        <v>9.7200000000000006</v>
      </c>
      <c r="E145">
        <v>39.42</v>
      </c>
      <c r="F145" t="s">
        <v>9</v>
      </c>
      <c r="G145" t="s">
        <v>13</v>
      </c>
      <c r="H145">
        <v>1</v>
      </c>
    </row>
    <row r="146" spans="1:8" x14ac:dyDescent="0.35">
      <c r="A146">
        <v>42.4</v>
      </c>
      <c r="B146">
        <v>3.95</v>
      </c>
      <c r="C146">
        <v>4.45</v>
      </c>
      <c r="D146">
        <v>4.29</v>
      </c>
      <c r="E146">
        <v>32.630000000000003</v>
      </c>
      <c r="F146" t="s">
        <v>9</v>
      </c>
      <c r="G146" t="s">
        <v>12</v>
      </c>
    </row>
    <row r="147" spans="1:8" x14ac:dyDescent="0.35">
      <c r="A147">
        <v>52.72</v>
      </c>
      <c r="B147">
        <v>3.59</v>
      </c>
      <c r="C147">
        <v>3.17</v>
      </c>
      <c r="D147">
        <v>7.37</v>
      </c>
      <c r="E147">
        <v>49.28</v>
      </c>
      <c r="F147" t="s">
        <v>10</v>
      </c>
      <c r="G147" t="s">
        <v>11</v>
      </c>
      <c r="H147">
        <v>0</v>
      </c>
    </row>
    <row r="148" spans="1:8" x14ac:dyDescent="0.35">
      <c r="A148">
        <v>94.47</v>
      </c>
      <c r="B148">
        <v>2.84</v>
      </c>
      <c r="C148">
        <v>0</v>
      </c>
      <c r="D148">
        <v>9.01</v>
      </c>
      <c r="E148">
        <v>7.35</v>
      </c>
      <c r="F148" t="s">
        <v>10</v>
      </c>
      <c r="G148" t="s">
        <v>11</v>
      </c>
      <c r="H148">
        <v>0</v>
      </c>
    </row>
    <row r="149" spans="1:8" x14ac:dyDescent="0.35">
      <c r="A149">
        <v>58.47</v>
      </c>
      <c r="B149">
        <v>6.02</v>
      </c>
      <c r="D149">
        <v>5.01</v>
      </c>
      <c r="E149">
        <v>26.3</v>
      </c>
      <c r="F149" t="s">
        <v>8</v>
      </c>
      <c r="G149" t="s">
        <v>13</v>
      </c>
      <c r="H149">
        <v>0</v>
      </c>
    </row>
    <row r="150" spans="1:8" x14ac:dyDescent="0.35">
      <c r="B150">
        <v>3.8</v>
      </c>
      <c r="C150">
        <v>0.75</v>
      </c>
      <c r="D150">
        <v>3.36</v>
      </c>
      <c r="E150">
        <v>20.36</v>
      </c>
      <c r="F150" t="s">
        <v>9</v>
      </c>
      <c r="G150" t="s">
        <v>13</v>
      </c>
      <c r="H150">
        <v>0</v>
      </c>
    </row>
    <row r="151" spans="1:8" x14ac:dyDescent="0.35">
      <c r="A151">
        <v>44.47</v>
      </c>
      <c r="B151">
        <v>4.16</v>
      </c>
      <c r="C151">
        <v>4.29</v>
      </c>
      <c r="D151">
        <v>8.34</v>
      </c>
      <c r="E151">
        <v>9.41</v>
      </c>
      <c r="F151" t="s">
        <v>10</v>
      </c>
      <c r="G151" t="s">
        <v>13</v>
      </c>
      <c r="H151">
        <v>0</v>
      </c>
    </row>
    <row r="152" spans="1:8" x14ac:dyDescent="0.35">
      <c r="A152">
        <v>11.49</v>
      </c>
      <c r="B152">
        <v>9.52</v>
      </c>
      <c r="C152">
        <v>2.56</v>
      </c>
      <c r="E152">
        <v>35.54</v>
      </c>
      <c r="F152" t="s">
        <v>9</v>
      </c>
      <c r="G152" t="s">
        <v>13</v>
      </c>
      <c r="H152">
        <v>0</v>
      </c>
    </row>
    <row r="153" spans="1:8" x14ac:dyDescent="0.35">
      <c r="A153">
        <v>41</v>
      </c>
      <c r="B153">
        <v>5.66</v>
      </c>
      <c r="C153">
        <v>1.89</v>
      </c>
      <c r="D153">
        <v>1</v>
      </c>
      <c r="E153">
        <v>42.94</v>
      </c>
      <c r="F153" t="s">
        <v>10</v>
      </c>
      <c r="G153" t="s">
        <v>11</v>
      </c>
    </row>
    <row r="154" spans="1:8" x14ac:dyDescent="0.35">
      <c r="A154">
        <v>37.049999999999997</v>
      </c>
      <c r="B154">
        <v>2.15</v>
      </c>
      <c r="C154">
        <v>6.47</v>
      </c>
      <c r="D154">
        <v>7.86</v>
      </c>
      <c r="E154">
        <v>46.7</v>
      </c>
      <c r="F154" t="s">
        <v>10</v>
      </c>
      <c r="G154" t="s">
        <v>11</v>
      </c>
      <c r="H154">
        <v>0</v>
      </c>
    </row>
    <row r="155" spans="1:8" x14ac:dyDescent="0.35">
      <c r="A155">
        <v>26.98</v>
      </c>
      <c r="B155">
        <v>4.63</v>
      </c>
      <c r="C155">
        <v>1.41</v>
      </c>
      <c r="D155">
        <v>6.03</v>
      </c>
      <c r="E155">
        <v>2.61</v>
      </c>
      <c r="F155" t="s">
        <v>10</v>
      </c>
      <c r="G155" t="s">
        <v>12</v>
      </c>
      <c r="H155">
        <v>0</v>
      </c>
    </row>
    <row r="156" spans="1:8" x14ac:dyDescent="0.35">
      <c r="A156">
        <v>36.06</v>
      </c>
      <c r="B156">
        <v>5.62</v>
      </c>
      <c r="D156">
        <v>5.99</v>
      </c>
      <c r="E156">
        <v>24.56</v>
      </c>
      <c r="F156" t="s">
        <v>10</v>
      </c>
      <c r="G156" t="s">
        <v>12</v>
      </c>
      <c r="H156">
        <v>0</v>
      </c>
    </row>
    <row r="157" spans="1:8" x14ac:dyDescent="0.35">
      <c r="A157">
        <v>16.97</v>
      </c>
      <c r="B157">
        <v>7.93</v>
      </c>
      <c r="C157">
        <v>1.1599999999999999</v>
      </c>
      <c r="D157">
        <v>10.17</v>
      </c>
      <c r="E157">
        <v>23.39</v>
      </c>
      <c r="F157" t="s">
        <v>10</v>
      </c>
      <c r="G157" t="s">
        <v>12</v>
      </c>
      <c r="H157">
        <v>0</v>
      </c>
    </row>
    <row r="158" spans="1:8" x14ac:dyDescent="0.35">
      <c r="A158">
        <v>17.04</v>
      </c>
      <c r="B158">
        <v>5.34</v>
      </c>
      <c r="C158">
        <v>4.24</v>
      </c>
      <c r="D158">
        <v>6.97</v>
      </c>
      <c r="E158">
        <v>2.88</v>
      </c>
      <c r="F158" t="s">
        <v>8</v>
      </c>
      <c r="G158" t="s">
        <v>12</v>
      </c>
      <c r="H158">
        <v>0</v>
      </c>
    </row>
    <row r="159" spans="1:8" x14ac:dyDescent="0.35">
      <c r="A159">
        <v>36.17</v>
      </c>
      <c r="B159">
        <v>8.26</v>
      </c>
      <c r="C159">
        <v>3.85</v>
      </c>
      <c r="D159">
        <v>11.84</v>
      </c>
      <c r="E159">
        <v>44.88</v>
      </c>
      <c r="F159" t="s">
        <v>10</v>
      </c>
      <c r="G159" t="s">
        <v>11</v>
      </c>
      <c r="H159">
        <v>0</v>
      </c>
    </row>
    <row r="160" spans="1:8" x14ac:dyDescent="0.35">
      <c r="A160">
        <v>69.94</v>
      </c>
      <c r="B160">
        <v>7.47</v>
      </c>
      <c r="C160">
        <v>2.4700000000000002</v>
      </c>
      <c r="D160">
        <v>5.59</v>
      </c>
      <c r="E160">
        <v>23.59</v>
      </c>
      <c r="F160" t="s">
        <v>10</v>
      </c>
      <c r="G160" t="s">
        <v>13</v>
      </c>
      <c r="H160">
        <v>0</v>
      </c>
    </row>
    <row r="161" spans="1:8" x14ac:dyDescent="0.35">
      <c r="A161">
        <v>66.98</v>
      </c>
      <c r="B161">
        <v>6.51</v>
      </c>
      <c r="C161">
        <v>6.79</v>
      </c>
      <c r="D161">
        <v>5.78</v>
      </c>
      <c r="F161" t="s">
        <v>8</v>
      </c>
      <c r="G161" t="s">
        <v>11</v>
      </c>
      <c r="H161">
        <v>0</v>
      </c>
    </row>
    <row r="162" spans="1:8" x14ac:dyDescent="0.35">
      <c r="A162">
        <v>43.4</v>
      </c>
      <c r="C162">
        <v>6.1</v>
      </c>
      <c r="D162">
        <v>6.68</v>
      </c>
      <c r="E162">
        <v>28.68</v>
      </c>
      <c r="F162" t="s">
        <v>8</v>
      </c>
      <c r="G162" t="s">
        <v>12</v>
      </c>
      <c r="H162">
        <v>0</v>
      </c>
    </row>
    <row r="163" spans="1:8" x14ac:dyDescent="0.35">
      <c r="A163">
        <v>60.48</v>
      </c>
      <c r="B163">
        <v>7.67</v>
      </c>
      <c r="C163">
        <v>1.32</v>
      </c>
      <c r="D163">
        <v>6.86</v>
      </c>
      <c r="E163">
        <v>27.69</v>
      </c>
      <c r="F163" t="s">
        <v>9</v>
      </c>
      <c r="G163" t="s">
        <v>13</v>
      </c>
      <c r="H163">
        <v>1</v>
      </c>
    </row>
    <row r="164" spans="1:8" x14ac:dyDescent="0.35">
      <c r="A164">
        <v>38.51</v>
      </c>
      <c r="B164">
        <v>10.49</v>
      </c>
      <c r="C164">
        <v>3.02</v>
      </c>
      <c r="D164">
        <v>8.75</v>
      </c>
      <c r="F164" t="s">
        <v>8</v>
      </c>
      <c r="G164" t="s">
        <v>13</v>
      </c>
      <c r="H164">
        <v>0</v>
      </c>
    </row>
    <row r="165" spans="1:8" x14ac:dyDescent="0.35">
      <c r="A165">
        <v>22.59</v>
      </c>
      <c r="B165">
        <v>7.6</v>
      </c>
      <c r="C165">
        <v>3.9</v>
      </c>
      <c r="D165">
        <v>6.11</v>
      </c>
      <c r="E165">
        <v>48.8</v>
      </c>
      <c r="F165" t="s">
        <v>10</v>
      </c>
      <c r="G165" t="s">
        <v>13</v>
      </c>
      <c r="H165">
        <v>1</v>
      </c>
    </row>
    <row r="166" spans="1:8" x14ac:dyDescent="0.35">
      <c r="A166">
        <v>68.64</v>
      </c>
      <c r="B166">
        <v>8.91</v>
      </c>
      <c r="C166">
        <v>0.54</v>
      </c>
      <c r="D166">
        <v>6.77</v>
      </c>
      <c r="E166">
        <v>42.37</v>
      </c>
      <c r="F166" t="s">
        <v>10</v>
      </c>
      <c r="G166" t="s">
        <v>13</v>
      </c>
      <c r="H166">
        <v>1</v>
      </c>
    </row>
    <row r="167" spans="1:8" x14ac:dyDescent="0.35">
      <c r="A167">
        <v>22.75</v>
      </c>
      <c r="B167">
        <v>3.38</v>
      </c>
      <c r="C167">
        <v>4.24</v>
      </c>
      <c r="D167">
        <v>7.61</v>
      </c>
      <c r="F167" t="s">
        <v>10</v>
      </c>
      <c r="G167" t="s">
        <v>12</v>
      </c>
      <c r="H167">
        <v>0</v>
      </c>
    </row>
    <row r="168" spans="1:8" x14ac:dyDescent="0.35">
      <c r="A168">
        <v>70.400000000000006</v>
      </c>
      <c r="B168">
        <v>6.34</v>
      </c>
      <c r="C168">
        <v>4.0599999999999996</v>
      </c>
      <c r="D168">
        <v>5.68</v>
      </c>
      <c r="E168">
        <v>49.13</v>
      </c>
      <c r="F168" t="s">
        <v>10</v>
      </c>
      <c r="G168" t="s">
        <v>11</v>
      </c>
      <c r="H168">
        <v>1</v>
      </c>
    </row>
    <row r="169" spans="1:8" x14ac:dyDescent="0.35">
      <c r="A169">
        <v>74.12</v>
      </c>
      <c r="B169">
        <v>7.56</v>
      </c>
      <c r="C169">
        <v>2.35</v>
      </c>
      <c r="D169">
        <v>6.16</v>
      </c>
      <c r="E169">
        <v>27.19</v>
      </c>
      <c r="F169" t="s">
        <v>8</v>
      </c>
      <c r="G169" t="s">
        <v>12</v>
      </c>
      <c r="H169">
        <v>1</v>
      </c>
    </row>
    <row r="170" spans="1:8" x14ac:dyDescent="0.35">
      <c r="B170">
        <v>5.67</v>
      </c>
      <c r="C170">
        <v>0.85</v>
      </c>
      <c r="D170">
        <v>1.93</v>
      </c>
      <c r="E170">
        <v>8.34</v>
      </c>
      <c r="F170" t="s">
        <v>8</v>
      </c>
      <c r="G170" t="s">
        <v>11</v>
      </c>
      <c r="H170">
        <v>1</v>
      </c>
    </row>
    <row r="171" spans="1:8" x14ac:dyDescent="0.35">
      <c r="A171">
        <v>25.24</v>
      </c>
      <c r="B171">
        <v>7.79</v>
      </c>
      <c r="C171">
        <v>2.63</v>
      </c>
      <c r="E171">
        <v>42.89</v>
      </c>
      <c r="F171" t="s">
        <v>10</v>
      </c>
      <c r="G171" t="s">
        <v>11</v>
      </c>
      <c r="H171">
        <v>0</v>
      </c>
    </row>
    <row r="172" spans="1:8" x14ac:dyDescent="0.35">
      <c r="A172">
        <v>18.64</v>
      </c>
      <c r="B172">
        <v>10.74</v>
      </c>
      <c r="C172">
        <v>4.1900000000000004</v>
      </c>
      <c r="D172">
        <v>6.04</v>
      </c>
      <c r="E172">
        <v>25.93</v>
      </c>
      <c r="F172" t="s">
        <v>9</v>
      </c>
      <c r="G172" t="s">
        <v>11</v>
      </c>
      <c r="H172">
        <v>0</v>
      </c>
    </row>
    <row r="173" spans="1:8" x14ac:dyDescent="0.35">
      <c r="A173">
        <v>58.23</v>
      </c>
      <c r="B173">
        <v>9.7899999999999991</v>
      </c>
      <c r="C173">
        <v>0.91</v>
      </c>
      <c r="D173">
        <v>4.2</v>
      </c>
      <c r="E173">
        <v>41.68</v>
      </c>
      <c r="F173" t="s">
        <v>10</v>
      </c>
      <c r="G173" t="s">
        <v>13</v>
      </c>
      <c r="H173">
        <v>0</v>
      </c>
    </row>
    <row r="174" spans="1:8" x14ac:dyDescent="0.35">
      <c r="A174">
        <v>5</v>
      </c>
      <c r="B174">
        <v>2.94</v>
      </c>
      <c r="C174">
        <v>1.52</v>
      </c>
      <c r="D174">
        <v>5.31</v>
      </c>
      <c r="E174">
        <v>38.880000000000003</v>
      </c>
      <c r="F174" t="s">
        <v>10</v>
      </c>
      <c r="G174" t="s">
        <v>12</v>
      </c>
      <c r="H174">
        <v>0</v>
      </c>
    </row>
    <row r="175" spans="1:8" x14ac:dyDescent="0.35">
      <c r="A175">
        <v>75.48</v>
      </c>
      <c r="B175">
        <v>5.28</v>
      </c>
      <c r="C175">
        <v>2.4700000000000002</v>
      </c>
      <c r="D175">
        <v>6.05</v>
      </c>
      <c r="E175">
        <v>23.88</v>
      </c>
      <c r="F175" t="s">
        <v>9</v>
      </c>
      <c r="G175" t="s">
        <v>11</v>
      </c>
      <c r="H175">
        <v>1</v>
      </c>
    </row>
    <row r="176" spans="1:8" x14ac:dyDescent="0.35">
      <c r="A176">
        <v>42.5</v>
      </c>
      <c r="B176">
        <v>2.34</v>
      </c>
      <c r="C176">
        <v>0</v>
      </c>
      <c r="D176">
        <v>9.67</v>
      </c>
      <c r="E176">
        <v>31.94</v>
      </c>
      <c r="F176" t="s">
        <v>8</v>
      </c>
      <c r="G176" t="s">
        <v>11</v>
      </c>
      <c r="H176">
        <v>1</v>
      </c>
    </row>
    <row r="177" spans="1:8" x14ac:dyDescent="0.35">
      <c r="A177">
        <v>91.02</v>
      </c>
      <c r="B177">
        <v>7.7</v>
      </c>
      <c r="C177">
        <v>0.73</v>
      </c>
      <c r="D177">
        <v>1.69</v>
      </c>
      <c r="E177">
        <v>19.37</v>
      </c>
      <c r="F177" t="s">
        <v>10</v>
      </c>
      <c r="G177" t="s">
        <v>11</v>
      </c>
      <c r="H177">
        <v>1</v>
      </c>
    </row>
    <row r="178" spans="1:8" x14ac:dyDescent="0.35">
      <c r="A178">
        <v>20.100000000000001</v>
      </c>
      <c r="B178">
        <v>6.41</v>
      </c>
      <c r="C178">
        <v>4.79</v>
      </c>
      <c r="D178">
        <v>10.97</v>
      </c>
      <c r="E178">
        <v>24.25</v>
      </c>
      <c r="F178" t="s">
        <v>8</v>
      </c>
      <c r="G178" t="s">
        <v>13</v>
      </c>
      <c r="H178">
        <v>0</v>
      </c>
    </row>
    <row r="179" spans="1:8" x14ac:dyDescent="0.35">
      <c r="A179">
        <v>50.94</v>
      </c>
      <c r="B179">
        <v>10.3</v>
      </c>
      <c r="C179">
        <v>2.21</v>
      </c>
      <c r="D179">
        <v>5.22</v>
      </c>
      <c r="E179">
        <v>13.84</v>
      </c>
      <c r="F179" t="s">
        <v>8</v>
      </c>
      <c r="G179" t="s">
        <v>11</v>
      </c>
      <c r="H179">
        <v>0</v>
      </c>
    </row>
    <row r="180" spans="1:8" x14ac:dyDescent="0.35">
      <c r="A180">
        <v>52.46</v>
      </c>
      <c r="B180">
        <v>5.0999999999999996</v>
      </c>
      <c r="C180">
        <v>0</v>
      </c>
      <c r="D180">
        <v>4.1500000000000004</v>
      </c>
      <c r="E180">
        <v>43.53</v>
      </c>
      <c r="F180" t="s">
        <v>10</v>
      </c>
      <c r="G180" t="s">
        <v>12</v>
      </c>
      <c r="H180">
        <v>0</v>
      </c>
    </row>
    <row r="181" spans="1:8" x14ac:dyDescent="0.35">
      <c r="A181">
        <v>55.08</v>
      </c>
      <c r="B181">
        <v>4.55</v>
      </c>
      <c r="C181">
        <v>0</v>
      </c>
      <c r="D181">
        <v>7.18</v>
      </c>
      <c r="E181">
        <v>7.29</v>
      </c>
      <c r="F181" t="s">
        <v>10</v>
      </c>
      <c r="G181" t="s">
        <v>11</v>
      </c>
      <c r="H181">
        <v>1</v>
      </c>
    </row>
    <row r="182" spans="1:8" x14ac:dyDescent="0.35">
      <c r="A182">
        <v>56.08</v>
      </c>
      <c r="B182">
        <v>6.03</v>
      </c>
      <c r="C182">
        <v>1.37</v>
      </c>
      <c r="D182">
        <v>6.87</v>
      </c>
      <c r="E182">
        <v>45.19</v>
      </c>
      <c r="F182" t="s">
        <v>10</v>
      </c>
      <c r="G182" t="s">
        <v>11</v>
      </c>
      <c r="H182">
        <v>0</v>
      </c>
    </row>
    <row r="183" spans="1:8" x14ac:dyDescent="0.35">
      <c r="A183">
        <v>58.3</v>
      </c>
      <c r="B183">
        <v>6.59</v>
      </c>
      <c r="C183">
        <v>4.3099999999999996</v>
      </c>
      <c r="E183">
        <v>39.869999999999997</v>
      </c>
      <c r="F183" t="s">
        <v>9</v>
      </c>
      <c r="G183" t="s">
        <v>12</v>
      </c>
      <c r="H183">
        <v>0</v>
      </c>
    </row>
    <row r="184" spans="1:8" x14ac:dyDescent="0.35">
      <c r="A184">
        <v>28.67</v>
      </c>
      <c r="B184">
        <v>3.26</v>
      </c>
      <c r="C184">
        <v>5.61</v>
      </c>
      <c r="D184">
        <v>4.0599999999999996</v>
      </c>
      <c r="E184">
        <v>35.67</v>
      </c>
      <c r="F184" t="s">
        <v>8</v>
      </c>
      <c r="G184" t="s">
        <v>11</v>
      </c>
      <c r="H184">
        <v>1</v>
      </c>
    </row>
    <row r="185" spans="1:8" x14ac:dyDescent="0.35">
      <c r="A185">
        <v>49.83</v>
      </c>
      <c r="B185">
        <v>1.88</v>
      </c>
      <c r="C185">
        <v>2.33</v>
      </c>
      <c r="D185">
        <v>10.54</v>
      </c>
      <c r="E185">
        <v>30.65</v>
      </c>
      <c r="F185" t="s">
        <v>10</v>
      </c>
      <c r="G185" t="s">
        <v>11</v>
      </c>
      <c r="H185">
        <v>1</v>
      </c>
    </row>
    <row r="186" spans="1:8" x14ac:dyDescent="0.35">
      <c r="A186">
        <v>57.64</v>
      </c>
      <c r="B186">
        <v>2.4700000000000002</v>
      </c>
      <c r="C186">
        <v>2.5</v>
      </c>
      <c r="D186">
        <v>6.59</v>
      </c>
      <c r="E186">
        <v>34.85</v>
      </c>
      <c r="F186" t="s">
        <v>10</v>
      </c>
      <c r="H186">
        <v>0</v>
      </c>
    </row>
    <row r="187" spans="1:8" x14ac:dyDescent="0.35">
      <c r="A187">
        <v>80.14</v>
      </c>
      <c r="B187">
        <v>6.95</v>
      </c>
      <c r="C187">
        <v>5.14</v>
      </c>
      <c r="D187">
        <v>9.08</v>
      </c>
      <c r="E187">
        <v>50.89</v>
      </c>
      <c r="F187" t="s">
        <v>8</v>
      </c>
      <c r="G187" t="s">
        <v>11</v>
      </c>
    </row>
    <row r="188" spans="1:8" x14ac:dyDescent="0.35">
      <c r="B188">
        <v>7.54</v>
      </c>
      <c r="C188">
        <v>4.84</v>
      </c>
      <c r="D188">
        <v>8.57</v>
      </c>
      <c r="E188">
        <v>45.38</v>
      </c>
      <c r="F188" t="s">
        <v>10</v>
      </c>
      <c r="G188" t="s">
        <v>12</v>
      </c>
      <c r="H188">
        <v>0</v>
      </c>
    </row>
    <row r="189" spans="1:8" x14ac:dyDescent="0.35">
      <c r="A189">
        <v>21.81</v>
      </c>
      <c r="B189">
        <v>1.79</v>
      </c>
      <c r="C189">
        <v>3.15</v>
      </c>
      <c r="D189">
        <v>4.2699999999999996</v>
      </c>
      <c r="E189">
        <v>27.5</v>
      </c>
      <c r="F189" t="s">
        <v>10</v>
      </c>
      <c r="G189" t="s">
        <v>11</v>
      </c>
      <c r="H189">
        <v>1</v>
      </c>
    </row>
    <row r="190" spans="1:8" x14ac:dyDescent="0.35">
      <c r="A190">
        <v>78.88</v>
      </c>
      <c r="B190">
        <v>5.81</v>
      </c>
      <c r="D190">
        <v>8.17</v>
      </c>
      <c r="E190">
        <v>35.94</v>
      </c>
      <c r="F190" t="s">
        <v>9</v>
      </c>
      <c r="G190" t="s">
        <v>11</v>
      </c>
      <c r="H190">
        <v>0</v>
      </c>
    </row>
    <row r="191" spans="1:8" x14ac:dyDescent="0.35">
      <c r="A191">
        <v>23.34</v>
      </c>
      <c r="B191">
        <v>6.93</v>
      </c>
      <c r="C191">
        <v>7.61</v>
      </c>
      <c r="D191">
        <v>5.03</v>
      </c>
      <c r="E191">
        <v>20.99</v>
      </c>
      <c r="F191" t="s">
        <v>10</v>
      </c>
      <c r="G191" t="s">
        <v>11</v>
      </c>
      <c r="H191">
        <v>0</v>
      </c>
    </row>
    <row r="192" spans="1:8" x14ac:dyDescent="0.35">
      <c r="A192">
        <v>44.56</v>
      </c>
      <c r="B192">
        <v>5.13</v>
      </c>
      <c r="C192">
        <v>2.2400000000000002</v>
      </c>
      <c r="D192">
        <v>9.08</v>
      </c>
      <c r="E192">
        <v>40.24</v>
      </c>
      <c r="F192" t="s">
        <v>10</v>
      </c>
      <c r="G192" t="s">
        <v>11</v>
      </c>
      <c r="H192">
        <v>0</v>
      </c>
    </row>
    <row r="193" spans="1:8" x14ac:dyDescent="0.35">
      <c r="A193">
        <v>65.11</v>
      </c>
      <c r="B193">
        <v>2.88</v>
      </c>
      <c r="C193">
        <v>0</v>
      </c>
      <c r="D193">
        <v>5.31</v>
      </c>
      <c r="E193">
        <v>36.159999999999997</v>
      </c>
      <c r="F193" t="s">
        <v>10</v>
      </c>
      <c r="G193" t="s">
        <v>11</v>
      </c>
    </row>
    <row r="194" spans="1:8" x14ac:dyDescent="0.35">
      <c r="A194">
        <v>43.26</v>
      </c>
      <c r="B194">
        <v>4.41</v>
      </c>
      <c r="C194">
        <v>0.91</v>
      </c>
      <c r="D194">
        <v>8.16</v>
      </c>
      <c r="E194">
        <v>42.47</v>
      </c>
      <c r="F194" t="s">
        <v>10</v>
      </c>
      <c r="G194" t="s">
        <v>13</v>
      </c>
      <c r="H194">
        <v>0</v>
      </c>
    </row>
    <row r="195" spans="1:8" x14ac:dyDescent="0.35">
      <c r="A195">
        <v>56.89</v>
      </c>
      <c r="B195">
        <v>5.86</v>
      </c>
      <c r="C195">
        <v>4.68</v>
      </c>
      <c r="D195">
        <v>6.57</v>
      </c>
      <c r="E195">
        <v>30.18</v>
      </c>
      <c r="F195" t="s">
        <v>8</v>
      </c>
      <c r="G195" t="s">
        <v>11</v>
      </c>
      <c r="H195">
        <v>0</v>
      </c>
    </row>
    <row r="196" spans="1:8" x14ac:dyDescent="0.35">
      <c r="A196">
        <v>50.48</v>
      </c>
      <c r="B196">
        <v>7.65</v>
      </c>
      <c r="C196">
        <v>3.22</v>
      </c>
      <c r="D196">
        <v>10.28</v>
      </c>
      <c r="E196">
        <v>48.45</v>
      </c>
      <c r="G196" t="s">
        <v>13</v>
      </c>
      <c r="H196">
        <v>0</v>
      </c>
    </row>
    <row r="197" spans="1:8" x14ac:dyDescent="0.35">
      <c r="A197">
        <v>50.36</v>
      </c>
      <c r="C197">
        <v>4.84</v>
      </c>
      <c r="D197">
        <v>6.61</v>
      </c>
      <c r="E197">
        <v>34.03</v>
      </c>
      <c r="F197" t="s">
        <v>8</v>
      </c>
      <c r="G197" t="s">
        <v>11</v>
      </c>
      <c r="H197">
        <v>1</v>
      </c>
    </row>
    <row r="198" spans="1:8" x14ac:dyDescent="0.35">
      <c r="A198">
        <v>52.86</v>
      </c>
      <c r="B198">
        <v>7.5</v>
      </c>
      <c r="C198">
        <v>1.26</v>
      </c>
      <c r="D198">
        <v>6.94</v>
      </c>
      <c r="E198">
        <v>20.190000000000001</v>
      </c>
      <c r="F198" t="s">
        <v>9</v>
      </c>
      <c r="G198" t="s">
        <v>13</v>
      </c>
      <c r="H198">
        <v>0</v>
      </c>
    </row>
    <row r="199" spans="1:8" x14ac:dyDescent="0.35">
      <c r="A199">
        <v>47.72</v>
      </c>
      <c r="B199">
        <v>7.48</v>
      </c>
      <c r="C199">
        <v>4.1900000000000004</v>
      </c>
      <c r="D199">
        <v>4.83</v>
      </c>
      <c r="E199">
        <v>65.13</v>
      </c>
      <c r="F199" t="s">
        <v>9</v>
      </c>
      <c r="G199" t="s">
        <v>11</v>
      </c>
      <c r="H199">
        <v>0</v>
      </c>
    </row>
    <row r="200" spans="1:8" x14ac:dyDescent="0.35">
      <c r="A200">
        <v>65.760000000000005</v>
      </c>
      <c r="B200">
        <v>4.0599999999999996</v>
      </c>
      <c r="C200">
        <v>1.55</v>
      </c>
      <c r="D200">
        <v>6.71</v>
      </c>
      <c r="E200">
        <v>7.14</v>
      </c>
      <c r="F200" t="s">
        <v>10</v>
      </c>
      <c r="G200" t="s">
        <v>13</v>
      </c>
    </row>
    <row r="201" spans="1:8" x14ac:dyDescent="0.35">
      <c r="A201">
        <v>71.87</v>
      </c>
      <c r="B201">
        <v>9.2799999999999994</v>
      </c>
      <c r="C201">
        <v>2.06</v>
      </c>
      <c r="D201">
        <v>8.5</v>
      </c>
      <c r="E201">
        <v>34.44</v>
      </c>
      <c r="F201" t="s">
        <v>10</v>
      </c>
      <c r="G201" t="s">
        <v>11</v>
      </c>
      <c r="H20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7AD99-20EA-4CBD-9987-4B1F86829BB1}">
  <dimension ref="A3:O145"/>
  <sheetViews>
    <sheetView zoomScale="103" zoomScaleNormal="100" workbookViewId="0">
      <selection activeCell="F24" sqref="F24"/>
    </sheetView>
  </sheetViews>
  <sheetFormatPr defaultRowHeight="14.5" x14ac:dyDescent="0.35"/>
  <cols>
    <col min="1" max="1" width="12.36328125" bestFit="1" customWidth="1"/>
    <col min="2" max="2" width="19.1796875" bestFit="1" customWidth="1"/>
    <col min="3" max="3" width="2.81640625" bestFit="1" customWidth="1"/>
    <col min="4" max="4" width="10.7265625" bestFit="1" customWidth="1"/>
    <col min="5" max="6" width="12.36328125" customWidth="1"/>
    <col min="7" max="7" width="19.6328125" customWidth="1"/>
    <col min="8" max="8" width="30.08984375" bestFit="1" customWidth="1"/>
    <col min="9" max="9" width="31.36328125" customWidth="1"/>
    <col min="10" max="10" width="10.7265625" bestFit="1" customWidth="1"/>
    <col min="13" max="13" width="15.08984375" customWidth="1"/>
    <col min="14" max="14" width="15.453125" customWidth="1"/>
    <col min="15" max="15" width="16.6328125" customWidth="1"/>
  </cols>
  <sheetData>
    <row r="3" spans="1:15" x14ac:dyDescent="0.35">
      <c r="A3" s="2" t="s">
        <v>18</v>
      </c>
      <c r="B3" t="s">
        <v>28</v>
      </c>
      <c r="E3" s="2"/>
      <c r="F3" s="2"/>
      <c r="G3" s="2"/>
      <c r="N3" s="4" t="s">
        <v>22</v>
      </c>
      <c r="O3" s="4" t="s">
        <v>23</v>
      </c>
    </row>
    <row r="4" spans="1:15" x14ac:dyDescent="0.35">
      <c r="A4" s="3" t="s">
        <v>8</v>
      </c>
      <c r="B4">
        <v>46</v>
      </c>
      <c r="E4" s="3"/>
      <c r="F4" s="3"/>
      <c r="G4" s="3"/>
      <c r="N4" s="5">
        <v>0</v>
      </c>
      <c r="O4" s="5">
        <v>1</v>
      </c>
    </row>
    <row r="5" spans="1:15" x14ac:dyDescent="0.35">
      <c r="A5" s="3" t="s">
        <v>9</v>
      </c>
      <c r="B5">
        <v>30</v>
      </c>
      <c r="E5" s="3"/>
      <c r="F5" s="5" t="s">
        <v>29</v>
      </c>
      <c r="G5" s="5" t="s">
        <v>28</v>
      </c>
      <c r="M5" t="s">
        <v>24</v>
      </c>
      <c r="N5">
        <v>12</v>
      </c>
      <c r="O5">
        <v>5</v>
      </c>
    </row>
    <row r="6" spans="1:15" x14ac:dyDescent="0.35">
      <c r="A6" s="3" t="s">
        <v>10</v>
      </c>
      <c r="B6">
        <v>67</v>
      </c>
      <c r="E6" s="3"/>
      <c r="F6" s="3" t="s">
        <v>8</v>
      </c>
      <c r="G6">
        <v>46</v>
      </c>
      <c r="M6" t="s">
        <v>25</v>
      </c>
      <c r="N6">
        <v>93</v>
      </c>
      <c r="O6">
        <v>33</v>
      </c>
    </row>
    <row r="7" spans="1:15" x14ac:dyDescent="0.35">
      <c r="A7" s="3" t="s">
        <v>19</v>
      </c>
      <c r="B7">
        <v>143</v>
      </c>
      <c r="E7" s="3"/>
      <c r="F7" s="3" t="s">
        <v>9</v>
      </c>
      <c r="G7">
        <v>30</v>
      </c>
    </row>
    <row r="8" spans="1:15" x14ac:dyDescent="0.35">
      <c r="E8" s="3"/>
      <c r="F8" s="3" t="s">
        <v>10</v>
      </c>
      <c r="G8">
        <v>67</v>
      </c>
    </row>
    <row r="9" spans="1:15" x14ac:dyDescent="0.35">
      <c r="E9" s="3"/>
      <c r="F9" s="3"/>
      <c r="G9" s="3"/>
    </row>
    <row r="10" spans="1:15" x14ac:dyDescent="0.35">
      <c r="E10" s="3"/>
      <c r="F10" s="3"/>
      <c r="G10" s="3"/>
    </row>
    <row r="11" spans="1:15" x14ac:dyDescent="0.35">
      <c r="E11" s="3"/>
      <c r="F11" s="3"/>
      <c r="G11" s="3"/>
    </row>
    <row r="12" spans="1:15" x14ac:dyDescent="0.35">
      <c r="E12" s="3"/>
      <c r="F12" s="3"/>
      <c r="G12" s="3"/>
    </row>
    <row r="13" spans="1:15" x14ac:dyDescent="0.35">
      <c r="E13" s="3"/>
      <c r="F13" s="3"/>
      <c r="G13" s="3"/>
      <c r="H13" s="5" t="s">
        <v>26</v>
      </c>
      <c r="I13" s="5" t="s">
        <v>27</v>
      </c>
    </row>
    <row r="14" spans="1:15" x14ac:dyDescent="0.35">
      <c r="E14" s="3"/>
      <c r="F14" s="3"/>
      <c r="G14" s="3"/>
      <c r="H14" s="3" t="s">
        <v>11</v>
      </c>
      <c r="I14">
        <v>67</v>
      </c>
    </row>
    <row r="15" spans="1:15" x14ac:dyDescent="0.35">
      <c r="E15" s="3"/>
      <c r="F15" s="3"/>
      <c r="G15" s="3"/>
      <c r="H15" s="3" t="s">
        <v>13</v>
      </c>
      <c r="I15">
        <v>48</v>
      </c>
    </row>
    <row r="16" spans="1:15" x14ac:dyDescent="0.35">
      <c r="E16" s="3"/>
      <c r="F16" s="3"/>
      <c r="G16" s="3"/>
      <c r="H16" s="3" t="s">
        <v>12</v>
      </c>
      <c r="I16">
        <v>28</v>
      </c>
    </row>
    <row r="17" spans="5:8" x14ac:dyDescent="0.35">
      <c r="E17" s="3"/>
      <c r="F17" s="3"/>
      <c r="G17" s="3"/>
    </row>
    <row r="18" spans="5:8" x14ac:dyDescent="0.35">
      <c r="E18" s="3"/>
      <c r="F18" s="3"/>
      <c r="G18" s="3"/>
    </row>
    <row r="19" spans="5:8" x14ac:dyDescent="0.35">
      <c r="E19" s="3"/>
      <c r="F19" s="3"/>
      <c r="G19" s="3"/>
    </row>
    <row r="20" spans="5:8" x14ac:dyDescent="0.35">
      <c r="E20" s="3"/>
      <c r="F20" s="3"/>
      <c r="G20" s="3"/>
    </row>
    <row r="21" spans="5:8" x14ac:dyDescent="0.35">
      <c r="E21" s="3"/>
      <c r="F21" s="3"/>
      <c r="G21" s="3"/>
    </row>
    <row r="22" spans="5:8" x14ac:dyDescent="0.35">
      <c r="E22" s="3"/>
      <c r="F22" s="3"/>
      <c r="G22" s="3"/>
    </row>
    <row r="23" spans="5:8" x14ac:dyDescent="0.35">
      <c r="E23" s="3"/>
      <c r="F23" s="3"/>
      <c r="G23" s="3"/>
      <c r="H23" t="s">
        <v>30</v>
      </c>
    </row>
    <row r="24" spans="5:8" x14ac:dyDescent="0.35">
      <c r="E24" s="3"/>
      <c r="F24" s="3"/>
      <c r="G24" s="3"/>
    </row>
    <row r="25" spans="5:8" x14ac:dyDescent="0.35">
      <c r="E25" s="3"/>
      <c r="F25" s="3"/>
      <c r="G25" s="3"/>
    </row>
    <row r="26" spans="5:8" x14ac:dyDescent="0.35">
      <c r="E26" s="3"/>
      <c r="F26" s="3"/>
      <c r="G26" s="3"/>
    </row>
    <row r="27" spans="5:8" x14ac:dyDescent="0.35">
      <c r="E27" s="3"/>
      <c r="F27" s="3"/>
      <c r="G27" s="3"/>
    </row>
    <row r="28" spans="5:8" x14ac:dyDescent="0.35">
      <c r="E28" s="3"/>
      <c r="F28" s="3"/>
      <c r="G28" s="3"/>
    </row>
    <row r="29" spans="5:8" x14ac:dyDescent="0.35">
      <c r="E29" s="3"/>
      <c r="F29" s="3"/>
      <c r="G29" s="3"/>
    </row>
    <row r="30" spans="5:8" x14ac:dyDescent="0.35">
      <c r="E30" s="3"/>
      <c r="F30" s="3"/>
      <c r="G30" s="3"/>
    </row>
    <row r="31" spans="5:8" x14ac:dyDescent="0.35">
      <c r="E31" s="3"/>
      <c r="F31" s="3"/>
      <c r="G31" s="3"/>
    </row>
    <row r="32" spans="5:8" x14ac:dyDescent="0.35">
      <c r="E32" s="3"/>
      <c r="F32" s="3"/>
      <c r="G32" s="3"/>
    </row>
    <row r="33" spans="5:7" x14ac:dyDescent="0.35">
      <c r="E33" s="3"/>
      <c r="F33" s="3"/>
      <c r="G33" s="3"/>
    </row>
    <row r="34" spans="5:7" x14ac:dyDescent="0.35">
      <c r="E34" s="3"/>
      <c r="F34" s="3"/>
      <c r="G34" s="3"/>
    </row>
    <row r="35" spans="5:7" x14ac:dyDescent="0.35">
      <c r="E35" s="3"/>
      <c r="F35" s="3"/>
      <c r="G35" s="3"/>
    </row>
    <row r="36" spans="5:7" x14ac:dyDescent="0.35">
      <c r="E36" s="3"/>
      <c r="F36" s="3"/>
      <c r="G36" s="3"/>
    </row>
    <row r="37" spans="5:7" x14ac:dyDescent="0.35">
      <c r="E37" s="3"/>
      <c r="F37" s="3"/>
      <c r="G37" s="3"/>
    </row>
    <row r="38" spans="5:7" x14ac:dyDescent="0.35">
      <c r="E38" s="3"/>
      <c r="F38" s="3"/>
      <c r="G38" s="3"/>
    </row>
    <row r="39" spans="5:7" x14ac:dyDescent="0.35">
      <c r="E39" s="3"/>
      <c r="F39" s="3"/>
      <c r="G39" s="3"/>
    </row>
    <row r="40" spans="5:7" x14ac:dyDescent="0.35">
      <c r="E40" s="3"/>
      <c r="F40" s="3"/>
      <c r="G40" s="3"/>
    </row>
    <row r="41" spans="5:7" x14ac:dyDescent="0.35">
      <c r="E41" s="3"/>
      <c r="F41" s="3"/>
      <c r="G41" s="3"/>
    </row>
    <row r="42" spans="5:7" x14ac:dyDescent="0.35">
      <c r="E42" s="3"/>
      <c r="F42" s="3"/>
      <c r="G42" s="3"/>
    </row>
    <row r="43" spans="5:7" x14ac:dyDescent="0.35">
      <c r="E43" s="3"/>
      <c r="F43" s="3"/>
      <c r="G43" s="3"/>
    </row>
    <row r="44" spans="5:7" x14ac:dyDescent="0.35">
      <c r="E44" s="3"/>
      <c r="F44" s="3"/>
      <c r="G44" s="3"/>
    </row>
    <row r="45" spans="5:7" x14ac:dyDescent="0.35">
      <c r="E45" s="3"/>
      <c r="F45" s="3"/>
      <c r="G45" s="3"/>
    </row>
    <row r="46" spans="5:7" x14ac:dyDescent="0.35">
      <c r="E46" s="3"/>
      <c r="F46" s="3"/>
      <c r="G46" s="3"/>
    </row>
    <row r="47" spans="5:7" x14ac:dyDescent="0.35">
      <c r="E47" s="3"/>
      <c r="F47" s="3"/>
      <c r="G47" s="3"/>
    </row>
    <row r="48" spans="5:7" x14ac:dyDescent="0.35">
      <c r="E48" s="3"/>
      <c r="F48" s="3"/>
      <c r="G48" s="3"/>
    </row>
    <row r="49" spans="5:7" x14ac:dyDescent="0.35">
      <c r="E49" s="3"/>
      <c r="F49" s="3"/>
      <c r="G49" s="3"/>
    </row>
    <row r="50" spans="5:7" x14ac:dyDescent="0.35">
      <c r="E50" s="3"/>
      <c r="F50" s="3"/>
      <c r="G50" s="3"/>
    </row>
    <row r="51" spans="5:7" x14ac:dyDescent="0.35">
      <c r="E51" s="3"/>
      <c r="F51" s="3"/>
      <c r="G51" s="3"/>
    </row>
    <row r="52" spans="5:7" x14ac:dyDescent="0.35">
      <c r="E52" s="3"/>
      <c r="F52" s="3"/>
      <c r="G52" s="3"/>
    </row>
    <row r="53" spans="5:7" x14ac:dyDescent="0.35">
      <c r="E53" s="3"/>
      <c r="F53" s="3"/>
      <c r="G53" s="3"/>
    </row>
    <row r="54" spans="5:7" x14ac:dyDescent="0.35">
      <c r="E54" s="3"/>
      <c r="F54" s="3"/>
      <c r="G54" s="3"/>
    </row>
    <row r="55" spans="5:7" x14ac:dyDescent="0.35">
      <c r="E55" s="3"/>
      <c r="F55" s="3"/>
      <c r="G55" s="3"/>
    </row>
    <row r="56" spans="5:7" x14ac:dyDescent="0.35">
      <c r="E56" s="3"/>
      <c r="F56" s="3"/>
      <c r="G56" s="3"/>
    </row>
    <row r="57" spans="5:7" x14ac:dyDescent="0.35">
      <c r="E57" s="3"/>
      <c r="F57" s="3"/>
      <c r="G57" s="3"/>
    </row>
    <row r="58" spans="5:7" x14ac:dyDescent="0.35">
      <c r="E58" s="3"/>
      <c r="F58" s="3"/>
      <c r="G58" s="3"/>
    </row>
    <row r="59" spans="5:7" x14ac:dyDescent="0.35">
      <c r="E59" s="3"/>
      <c r="F59" s="3"/>
      <c r="G59" s="3"/>
    </row>
    <row r="60" spans="5:7" x14ac:dyDescent="0.35">
      <c r="E60" s="3"/>
      <c r="F60" s="3"/>
      <c r="G60" s="3"/>
    </row>
    <row r="61" spans="5:7" x14ac:dyDescent="0.35">
      <c r="E61" s="3"/>
      <c r="F61" s="3"/>
      <c r="G61" s="3"/>
    </row>
    <row r="62" spans="5:7" x14ac:dyDescent="0.35">
      <c r="E62" s="3"/>
      <c r="F62" s="3"/>
      <c r="G62" s="3"/>
    </row>
    <row r="63" spans="5:7" x14ac:dyDescent="0.35">
      <c r="E63" s="3"/>
      <c r="F63" s="3"/>
      <c r="G63" s="3"/>
    </row>
    <row r="64" spans="5:7" x14ac:dyDescent="0.35">
      <c r="E64" s="3"/>
      <c r="F64" s="3"/>
      <c r="G64" s="3"/>
    </row>
    <row r="65" spans="5:7" x14ac:dyDescent="0.35">
      <c r="E65" s="3"/>
      <c r="F65" s="3"/>
      <c r="G65" s="3"/>
    </row>
    <row r="66" spans="5:7" x14ac:dyDescent="0.35">
      <c r="E66" s="3"/>
      <c r="F66" s="3"/>
      <c r="G66" s="3"/>
    </row>
    <row r="67" spans="5:7" x14ac:dyDescent="0.35">
      <c r="E67" s="3"/>
      <c r="F67" s="3"/>
      <c r="G67" s="3"/>
    </row>
    <row r="68" spans="5:7" x14ac:dyDescent="0.35">
      <c r="E68" s="3"/>
      <c r="F68" s="3"/>
      <c r="G68" s="3"/>
    </row>
    <row r="69" spans="5:7" x14ac:dyDescent="0.35">
      <c r="E69" s="3"/>
      <c r="F69" s="3"/>
      <c r="G69" s="3"/>
    </row>
    <row r="70" spans="5:7" x14ac:dyDescent="0.35">
      <c r="E70" s="3"/>
      <c r="F70" s="3"/>
      <c r="G70" s="3"/>
    </row>
    <row r="71" spans="5:7" x14ac:dyDescent="0.35">
      <c r="E71" s="3"/>
      <c r="F71" s="3"/>
      <c r="G71" s="3"/>
    </row>
    <row r="72" spans="5:7" x14ac:dyDescent="0.35">
      <c r="E72" s="3"/>
      <c r="F72" s="3"/>
      <c r="G72" s="3"/>
    </row>
    <row r="73" spans="5:7" x14ac:dyDescent="0.35">
      <c r="E73" s="3"/>
      <c r="F73" s="3"/>
      <c r="G73" s="3"/>
    </row>
    <row r="74" spans="5:7" x14ac:dyDescent="0.35">
      <c r="E74" s="3"/>
      <c r="F74" s="3"/>
      <c r="G74" s="3"/>
    </row>
    <row r="75" spans="5:7" x14ac:dyDescent="0.35">
      <c r="E75" s="3"/>
      <c r="F75" s="3"/>
      <c r="G75" s="3"/>
    </row>
    <row r="76" spans="5:7" x14ac:dyDescent="0.35">
      <c r="E76" s="3"/>
      <c r="F76" s="3"/>
      <c r="G76" s="3"/>
    </row>
    <row r="77" spans="5:7" x14ac:dyDescent="0.35">
      <c r="E77" s="3"/>
      <c r="F77" s="3"/>
      <c r="G77" s="3"/>
    </row>
    <row r="78" spans="5:7" x14ac:dyDescent="0.35">
      <c r="E78" s="3"/>
      <c r="F78" s="3"/>
      <c r="G78" s="3"/>
    </row>
    <row r="79" spans="5:7" x14ac:dyDescent="0.35">
      <c r="E79" s="3"/>
      <c r="F79" s="3"/>
      <c r="G79" s="3"/>
    </row>
    <row r="80" spans="5:7" x14ac:dyDescent="0.35">
      <c r="E80" s="3"/>
      <c r="F80" s="3"/>
      <c r="G80" s="3"/>
    </row>
    <row r="81" spans="5:7" x14ac:dyDescent="0.35">
      <c r="E81" s="3"/>
      <c r="F81" s="3"/>
      <c r="G81" s="3"/>
    </row>
    <row r="82" spans="5:7" x14ac:dyDescent="0.35">
      <c r="E82" s="3"/>
      <c r="F82" s="3"/>
      <c r="G82" s="3"/>
    </row>
    <row r="83" spans="5:7" x14ac:dyDescent="0.35">
      <c r="E83" s="3"/>
      <c r="F83" s="3"/>
      <c r="G83" s="3"/>
    </row>
    <row r="84" spans="5:7" x14ac:dyDescent="0.35">
      <c r="E84" s="3"/>
      <c r="F84" s="3"/>
      <c r="G84" s="3"/>
    </row>
    <row r="85" spans="5:7" x14ac:dyDescent="0.35">
      <c r="E85" s="3"/>
      <c r="F85" s="3"/>
      <c r="G85" s="3"/>
    </row>
    <row r="86" spans="5:7" x14ac:dyDescent="0.35">
      <c r="E86" s="3"/>
      <c r="F86" s="3"/>
      <c r="G86" s="3"/>
    </row>
    <row r="87" spans="5:7" x14ac:dyDescent="0.35">
      <c r="E87" s="3"/>
      <c r="F87" s="3"/>
      <c r="G87" s="3"/>
    </row>
    <row r="88" spans="5:7" x14ac:dyDescent="0.35">
      <c r="E88" s="3"/>
      <c r="F88" s="3"/>
      <c r="G88" s="3"/>
    </row>
    <row r="89" spans="5:7" x14ac:dyDescent="0.35">
      <c r="E89" s="3"/>
      <c r="F89" s="3"/>
      <c r="G89" s="3"/>
    </row>
    <row r="90" spans="5:7" x14ac:dyDescent="0.35">
      <c r="E90" s="3"/>
      <c r="F90" s="3"/>
      <c r="G90" s="3"/>
    </row>
    <row r="91" spans="5:7" x14ac:dyDescent="0.35">
      <c r="E91" s="3"/>
      <c r="F91" s="3"/>
      <c r="G91" s="3"/>
    </row>
    <row r="92" spans="5:7" x14ac:dyDescent="0.35">
      <c r="E92" s="3"/>
      <c r="F92" s="3"/>
      <c r="G92" s="3"/>
    </row>
    <row r="93" spans="5:7" x14ac:dyDescent="0.35">
      <c r="E93" s="3"/>
      <c r="F93" s="3"/>
      <c r="G93" s="3"/>
    </row>
    <row r="94" spans="5:7" x14ac:dyDescent="0.35">
      <c r="E94" s="3"/>
      <c r="F94" s="3"/>
      <c r="G94" s="3"/>
    </row>
    <row r="95" spans="5:7" x14ac:dyDescent="0.35">
      <c r="E95" s="3"/>
      <c r="F95" s="3"/>
      <c r="G95" s="3"/>
    </row>
    <row r="96" spans="5:7" x14ac:dyDescent="0.35">
      <c r="E96" s="3"/>
      <c r="F96" s="3"/>
      <c r="G96" s="3"/>
    </row>
    <row r="97" spans="5:7" x14ac:dyDescent="0.35">
      <c r="E97" s="3"/>
      <c r="F97" s="3"/>
      <c r="G97" s="3"/>
    </row>
    <row r="98" spans="5:7" x14ac:dyDescent="0.35">
      <c r="E98" s="3"/>
      <c r="F98" s="3"/>
      <c r="G98" s="3"/>
    </row>
    <row r="99" spans="5:7" x14ac:dyDescent="0.35">
      <c r="E99" s="3"/>
      <c r="F99" s="3"/>
      <c r="G99" s="3"/>
    </row>
    <row r="100" spans="5:7" x14ac:dyDescent="0.35">
      <c r="E100" s="3"/>
      <c r="F100" s="3"/>
      <c r="G100" s="3"/>
    </row>
    <row r="101" spans="5:7" x14ac:dyDescent="0.35">
      <c r="E101" s="3"/>
      <c r="F101" s="3"/>
      <c r="G101" s="3"/>
    </row>
    <row r="102" spans="5:7" x14ac:dyDescent="0.35">
      <c r="E102" s="3"/>
      <c r="F102" s="3"/>
      <c r="G102" s="3"/>
    </row>
    <row r="103" spans="5:7" x14ac:dyDescent="0.35">
      <c r="E103" s="3"/>
      <c r="F103" s="3"/>
      <c r="G103" s="3"/>
    </row>
    <row r="104" spans="5:7" x14ac:dyDescent="0.35">
      <c r="E104" s="3"/>
      <c r="F104" s="3"/>
      <c r="G104" s="3"/>
    </row>
    <row r="105" spans="5:7" x14ac:dyDescent="0.35">
      <c r="E105" s="3"/>
      <c r="F105" s="3"/>
      <c r="G105" s="3"/>
    </row>
    <row r="106" spans="5:7" x14ac:dyDescent="0.35">
      <c r="E106" s="3"/>
      <c r="F106" s="3"/>
      <c r="G106" s="3"/>
    </row>
    <row r="107" spans="5:7" x14ac:dyDescent="0.35">
      <c r="E107" s="3"/>
      <c r="F107" s="3"/>
      <c r="G107" s="3"/>
    </row>
    <row r="108" spans="5:7" x14ac:dyDescent="0.35">
      <c r="E108" s="3"/>
      <c r="F108" s="3"/>
      <c r="G108" s="3"/>
    </row>
    <row r="109" spans="5:7" x14ac:dyDescent="0.35">
      <c r="E109" s="3"/>
      <c r="F109" s="3"/>
      <c r="G109" s="3"/>
    </row>
    <row r="110" spans="5:7" x14ac:dyDescent="0.35">
      <c r="E110" s="3"/>
      <c r="F110" s="3"/>
      <c r="G110" s="3"/>
    </row>
    <row r="111" spans="5:7" x14ac:dyDescent="0.35">
      <c r="E111" s="3"/>
      <c r="F111" s="3"/>
      <c r="G111" s="3"/>
    </row>
    <row r="112" spans="5:7" x14ac:dyDescent="0.35">
      <c r="E112" s="3"/>
      <c r="F112" s="3"/>
      <c r="G112" s="3"/>
    </row>
    <row r="113" spans="5:7" x14ac:dyDescent="0.35">
      <c r="E113" s="3"/>
      <c r="F113" s="3"/>
      <c r="G113" s="3"/>
    </row>
    <row r="114" spans="5:7" x14ac:dyDescent="0.35">
      <c r="E114" s="3"/>
      <c r="F114" s="3"/>
      <c r="G114" s="3"/>
    </row>
    <row r="115" spans="5:7" x14ac:dyDescent="0.35">
      <c r="E115" s="3"/>
      <c r="F115" s="3"/>
      <c r="G115" s="3"/>
    </row>
    <row r="116" spans="5:7" x14ac:dyDescent="0.35">
      <c r="E116" s="3"/>
      <c r="F116" s="3"/>
      <c r="G116" s="3"/>
    </row>
    <row r="117" spans="5:7" x14ac:dyDescent="0.35">
      <c r="E117" s="3"/>
      <c r="F117" s="3"/>
      <c r="G117" s="3"/>
    </row>
    <row r="118" spans="5:7" x14ac:dyDescent="0.35">
      <c r="E118" s="3"/>
      <c r="F118" s="3"/>
      <c r="G118" s="3"/>
    </row>
    <row r="119" spans="5:7" x14ac:dyDescent="0.35">
      <c r="E119" s="3"/>
      <c r="F119" s="3"/>
      <c r="G119" s="3"/>
    </row>
    <row r="120" spans="5:7" x14ac:dyDescent="0.35">
      <c r="E120" s="3"/>
      <c r="F120" s="3"/>
      <c r="G120" s="3"/>
    </row>
    <row r="121" spans="5:7" x14ac:dyDescent="0.35">
      <c r="E121" s="3"/>
      <c r="F121" s="3"/>
      <c r="G121" s="3"/>
    </row>
    <row r="122" spans="5:7" x14ac:dyDescent="0.35">
      <c r="E122" s="3"/>
      <c r="F122" s="3"/>
      <c r="G122" s="3"/>
    </row>
    <row r="123" spans="5:7" x14ac:dyDescent="0.35">
      <c r="E123" s="3"/>
      <c r="F123" s="3"/>
      <c r="G123" s="3"/>
    </row>
    <row r="124" spans="5:7" x14ac:dyDescent="0.35">
      <c r="E124" s="3"/>
      <c r="F124" s="3"/>
      <c r="G124" s="3"/>
    </row>
    <row r="125" spans="5:7" x14ac:dyDescent="0.35">
      <c r="E125" s="3"/>
      <c r="F125" s="3"/>
      <c r="G125" s="3"/>
    </row>
    <row r="126" spans="5:7" x14ac:dyDescent="0.35">
      <c r="E126" s="3"/>
      <c r="F126" s="3"/>
      <c r="G126" s="3"/>
    </row>
    <row r="127" spans="5:7" x14ac:dyDescent="0.35">
      <c r="E127" s="3"/>
      <c r="F127" s="3"/>
      <c r="G127" s="3"/>
    </row>
    <row r="128" spans="5:7" x14ac:dyDescent="0.35">
      <c r="E128" s="3"/>
      <c r="F128" s="3"/>
      <c r="G128" s="3"/>
    </row>
    <row r="129" spans="5:7" x14ac:dyDescent="0.35">
      <c r="E129" s="3"/>
      <c r="F129" s="3"/>
      <c r="G129" s="3"/>
    </row>
    <row r="130" spans="5:7" x14ac:dyDescent="0.35">
      <c r="E130" s="3"/>
      <c r="F130" s="3"/>
      <c r="G130" s="3"/>
    </row>
    <row r="131" spans="5:7" x14ac:dyDescent="0.35">
      <c r="E131" s="3"/>
      <c r="F131" s="3"/>
      <c r="G131" s="3"/>
    </row>
    <row r="132" spans="5:7" x14ac:dyDescent="0.35">
      <c r="E132" s="3"/>
      <c r="F132" s="3"/>
      <c r="G132" s="3"/>
    </row>
    <row r="133" spans="5:7" x14ac:dyDescent="0.35">
      <c r="E133" s="3"/>
      <c r="F133" s="3"/>
      <c r="G133" s="3"/>
    </row>
    <row r="134" spans="5:7" x14ac:dyDescent="0.35">
      <c r="E134" s="3"/>
      <c r="F134" s="3"/>
      <c r="G134" s="3"/>
    </row>
    <row r="135" spans="5:7" x14ac:dyDescent="0.35">
      <c r="E135" s="3"/>
      <c r="F135" s="3"/>
      <c r="G135" s="3"/>
    </row>
    <row r="136" spans="5:7" x14ac:dyDescent="0.35">
      <c r="E136" s="3"/>
      <c r="F136" s="3"/>
      <c r="G136" s="3"/>
    </row>
    <row r="137" spans="5:7" x14ac:dyDescent="0.35">
      <c r="E137" s="3"/>
      <c r="F137" s="3"/>
      <c r="G137" s="3"/>
    </row>
    <row r="138" spans="5:7" x14ac:dyDescent="0.35">
      <c r="E138" s="3"/>
      <c r="F138" s="3"/>
      <c r="G138" s="3"/>
    </row>
    <row r="139" spans="5:7" x14ac:dyDescent="0.35">
      <c r="E139" s="3"/>
      <c r="F139" s="3"/>
      <c r="G139" s="3"/>
    </row>
    <row r="140" spans="5:7" x14ac:dyDescent="0.35">
      <c r="E140" s="3"/>
      <c r="F140" s="3"/>
      <c r="G140" s="3"/>
    </row>
    <row r="141" spans="5:7" x14ac:dyDescent="0.35">
      <c r="E141" s="3"/>
      <c r="F141" s="3"/>
      <c r="G141" s="3"/>
    </row>
    <row r="142" spans="5:7" x14ac:dyDescent="0.35">
      <c r="E142" s="3"/>
      <c r="F142" s="3"/>
      <c r="G142" s="3"/>
    </row>
    <row r="143" spans="5:7" x14ac:dyDescent="0.35">
      <c r="E143" s="3"/>
      <c r="F143" s="3"/>
      <c r="G143" s="3"/>
    </row>
    <row r="144" spans="5:7" x14ac:dyDescent="0.35">
      <c r="E144" s="3"/>
      <c r="F144" s="3"/>
      <c r="G144" s="3"/>
    </row>
    <row r="145" spans="5:7" x14ac:dyDescent="0.35">
      <c r="E145" s="3"/>
      <c r="F145" s="3"/>
      <c r="G145" s="3"/>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39025-C27B-47D6-BF15-2BC41F52844A}">
  <dimension ref="A1:K154"/>
  <sheetViews>
    <sheetView tabSelected="1" zoomScaleNormal="100" workbookViewId="0">
      <selection activeCell="K2" sqref="K2"/>
    </sheetView>
  </sheetViews>
  <sheetFormatPr defaultColWidth="14.7265625" defaultRowHeight="14.5" x14ac:dyDescent="0.35"/>
  <cols>
    <col min="1" max="1" width="29.08984375" bestFit="1" customWidth="1"/>
    <col min="2" max="5" width="26.90625" bestFit="1" customWidth="1"/>
    <col min="6" max="6" width="13.26953125" customWidth="1"/>
    <col min="7" max="7" width="15.26953125" customWidth="1"/>
    <col min="8" max="8" width="26.7265625" bestFit="1" customWidth="1"/>
    <col min="9" max="9" width="25" bestFit="1" customWidth="1"/>
    <col min="10" max="10" width="18.1796875" customWidth="1"/>
  </cols>
  <sheetData>
    <row r="1" spans="1:11" x14ac:dyDescent="0.35">
      <c r="A1" s="1" t="s">
        <v>0</v>
      </c>
      <c r="B1" s="1" t="s">
        <v>1</v>
      </c>
      <c r="C1" s="1" t="s">
        <v>2</v>
      </c>
      <c r="D1" s="1" t="s">
        <v>3</v>
      </c>
      <c r="E1" s="1" t="s">
        <v>4</v>
      </c>
      <c r="F1" s="1" t="s">
        <v>5</v>
      </c>
      <c r="G1" s="1" t="s">
        <v>6</v>
      </c>
      <c r="H1" s="1" t="s">
        <v>7</v>
      </c>
      <c r="I1" s="6" t="s">
        <v>31</v>
      </c>
      <c r="J1" s="6" t="s">
        <v>20</v>
      </c>
      <c r="K1" s="6" t="s">
        <v>21</v>
      </c>
    </row>
    <row r="2" spans="1:11" x14ac:dyDescent="0.35">
      <c r="A2">
        <v>65.14</v>
      </c>
      <c r="B2">
        <v>3.98</v>
      </c>
      <c r="C2">
        <v>0</v>
      </c>
      <c r="D2">
        <v>3.26</v>
      </c>
      <c r="E2">
        <v>26.47</v>
      </c>
      <c r="F2" t="s">
        <v>8</v>
      </c>
      <c r="G2" t="s">
        <v>11</v>
      </c>
      <c r="H2">
        <v>0</v>
      </c>
      <c r="I2" t="str">
        <f t="shared" ref="I2:I65" si="0">IF(B2&gt;=6, "Good Sleeper", "Poor Sleeper")</f>
        <v>Poor Sleeper</v>
      </c>
      <c r="J2">
        <f t="shared" ref="J2:J33" si="1">IF(AND(A2&gt;50,E2&lt;30),1,0)</f>
        <v>1</v>
      </c>
      <c r="K2">
        <f t="shared" ref="K2:K33" si="2">IF(C2&gt;0,1,0)</f>
        <v>0</v>
      </c>
    </row>
    <row r="3" spans="1:11" x14ac:dyDescent="0.35">
      <c r="A3">
        <v>34.520000000000003</v>
      </c>
      <c r="B3">
        <v>2.8</v>
      </c>
      <c r="C3">
        <v>0</v>
      </c>
      <c r="D3">
        <v>8.9700000000000006</v>
      </c>
      <c r="E3">
        <v>45.25</v>
      </c>
      <c r="F3" t="s">
        <v>9</v>
      </c>
      <c r="G3" t="s">
        <v>11</v>
      </c>
      <c r="H3">
        <v>0</v>
      </c>
      <c r="I3" t="str">
        <f t="shared" si="0"/>
        <v>Poor Sleeper</v>
      </c>
      <c r="J3">
        <f t="shared" si="1"/>
        <v>0</v>
      </c>
      <c r="K3">
        <f t="shared" si="2"/>
        <v>0</v>
      </c>
    </row>
    <row r="4" spans="1:11" x14ac:dyDescent="0.35">
      <c r="A4">
        <v>9.86</v>
      </c>
      <c r="B4">
        <v>6.45</v>
      </c>
      <c r="C4">
        <v>0</v>
      </c>
      <c r="D4">
        <v>4</v>
      </c>
      <c r="E4">
        <v>38.28</v>
      </c>
      <c r="F4" t="s">
        <v>10</v>
      </c>
      <c r="G4" t="s">
        <v>11</v>
      </c>
      <c r="H4">
        <v>0</v>
      </c>
      <c r="I4" t="str">
        <f t="shared" si="0"/>
        <v>Good Sleeper</v>
      </c>
      <c r="J4">
        <f t="shared" si="1"/>
        <v>0</v>
      </c>
      <c r="K4">
        <f t="shared" si="2"/>
        <v>0</v>
      </c>
    </row>
    <row r="5" spans="1:11" x14ac:dyDescent="0.35">
      <c r="A5">
        <v>77.47</v>
      </c>
      <c r="B5">
        <v>6.97</v>
      </c>
      <c r="C5">
        <v>0</v>
      </c>
      <c r="D5">
        <v>7</v>
      </c>
      <c r="E5">
        <v>40.82</v>
      </c>
      <c r="F5" t="s">
        <v>10</v>
      </c>
      <c r="G5" t="s">
        <v>11</v>
      </c>
      <c r="H5">
        <v>0</v>
      </c>
      <c r="I5" t="str">
        <f t="shared" si="0"/>
        <v>Good Sleeper</v>
      </c>
      <c r="J5">
        <f t="shared" si="1"/>
        <v>0</v>
      </c>
      <c r="K5">
        <f t="shared" si="2"/>
        <v>0</v>
      </c>
    </row>
    <row r="6" spans="1:11" x14ac:dyDescent="0.35">
      <c r="A6">
        <v>94.47</v>
      </c>
      <c r="B6">
        <v>2.84</v>
      </c>
      <c r="C6">
        <v>0</v>
      </c>
      <c r="D6">
        <v>9.01</v>
      </c>
      <c r="E6">
        <v>7.35</v>
      </c>
      <c r="F6" t="s">
        <v>10</v>
      </c>
      <c r="G6" t="s">
        <v>11</v>
      </c>
      <c r="H6">
        <v>0</v>
      </c>
      <c r="I6" t="str">
        <f t="shared" si="0"/>
        <v>Poor Sleeper</v>
      </c>
      <c r="J6">
        <f t="shared" si="1"/>
        <v>1</v>
      </c>
      <c r="K6">
        <f t="shared" si="2"/>
        <v>0</v>
      </c>
    </row>
    <row r="7" spans="1:11" x14ac:dyDescent="0.35">
      <c r="A7">
        <v>65.64</v>
      </c>
      <c r="B7">
        <v>5.28</v>
      </c>
      <c r="C7">
        <v>0.77</v>
      </c>
      <c r="D7">
        <v>6.16</v>
      </c>
      <c r="E7">
        <v>57.82</v>
      </c>
      <c r="F7" t="s">
        <v>8</v>
      </c>
      <c r="G7" t="s">
        <v>11</v>
      </c>
      <c r="H7">
        <v>0</v>
      </c>
      <c r="I7" t="str">
        <f t="shared" si="0"/>
        <v>Poor Sleeper</v>
      </c>
      <c r="J7">
        <f t="shared" si="1"/>
        <v>0</v>
      </c>
      <c r="K7">
        <f t="shared" si="2"/>
        <v>1</v>
      </c>
    </row>
    <row r="8" spans="1:11" x14ac:dyDescent="0.35">
      <c r="A8">
        <v>67.42</v>
      </c>
      <c r="B8">
        <v>7.14</v>
      </c>
      <c r="C8">
        <v>0.81</v>
      </c>
      <c r="D8">
        <v>6.85</v>
      </c>
      <c r="E8">
        <v>23.09</v>
      </c>
      <c r="F8" t="s">
        <v>10</v>
      </c>
      <c r="G8" t="s">
        <v>11</v>
      </c>
      <c r="H8">
        <v>0</v>
      </c>
      <c r="I8" t="str">
        <f t="shared" si="0"/>
        <v>Good Sleeper</v>
      </c>
      <c r="J8">
        <f t="shared" si="1"/>
        <v>1</v>
      </c>
      <c r="K8">
        <f t="shared" si="2"/>
        <v>1</v>
      </c>
    </row>
    <row r="9" spans="1:11" x14ac:dyDescent="0.35">
      <c r="A9">
        <v>68.290000000000006</v>
      </c>
      <c r="B9">
        <v>10.51</v>
      </c>
      <c r="C9">
        <v>0.84</v>
      </c>
      <c r="D9">
        <v>10.52</v>
      </c>
      <c r="E9">
        <v>21.57</v>
      </c>
      <c r="F9" t="s">
        <v>8</v>
      </c>
      <c r="G9" t="s">
        <v>11</v>
      </c>
      <c r="H9">
        <v>0</v>
      </c>
      <c r="I9" t="str">
        <f t="shared" si="0"/>
        <v>Good Sleeper</v>
      </c>
      <c r="J9">
        <f t="shared" si="1"/>
        <v>1</v>
      </c>
      <c r="K9">
        <f t="shared" si="2"/>
        <v>1</v>
      </c>
    </row>
    <row r="10" spans="1:11" x14ac:dyDescent="0.35">
      <c r="A10">
        <v>31.68</v>
      </c>
      <c r="B10">
        <v>4.7300000000000004</v>
      </c>
      <c r="C10">
        <v>1.37</v>
      </c>
      <c r="D10">
        <v>4.46</v>
      </c>
      <c r="E10">
        <v>36.06</v>
      </c>
      <c r="F10" t="s">
        <v>9</v>
      </c>
      <c r="G10" t="s">
        <v>11</v>
      </c>
      <c r="H10">
        <v>0</v>
      </c>
      <c r="I10" t="str">
        <f t="shared" si="0"/>
        <v>Poor Sleeper</v>
      </c>
      <c r="J10">
        <f t="shared" si="1"/>
        <v>0</v>
      </c>
      <c r="K10">
        <f t="shared" si="2"/>
        <v>1</v>
      </c>
    </row>
    <row r="11" spans="1:11" x14ac:dyDescent="0.35">
      <c r="A11">
        <v>56.08</v>
      </c>
      <c r="B11">
        <v>6.03</v>
      </c>
      <c r="C11">
        <v>1.37</v>
      </c>
      <c r="D11">
        <v>6.87</v>
      </c>
      <c r="E11">
        <v>45.19</v>
      </c>
      <c r="F11" t="s">
        <v>10</v>
      </c>
      <c r="G11" t="s">
        <v>11</v>
      </c>
      <c r="H11">
        <v>0</v>
      </c>
      <c r="I11" t="str">
        <f t="shared" si="0"/>
        <v>Good Sleeper</v>
      </c>
      <c r="J11">
        <f t="shared" si="1"/>
        <v>0</v>
      </c>
      <c r="K11">
        <f t="shared" si="2"/>
        <v>1</v>
      </c>
    </row>
    <row r="12" spans="1:11" x14ac:dyDescent="0.35">
      <c r="A12">
        <v>19.11</v>
      </c>
      <c r="B12">
        <v>2.39</v>
      </c>
      <c r="C12">
        <v>1.49</v>
      </c>
      <c r="D12">
        <v>5.94</v>
      </c>
      <c r="E12">
        <v>18.559999999999999</v>
      </c>
      <c r="F12" t="s">
        <v>10</v>
      </c>
      <c r="G12" t="s">
        <v>11</v>
      </c>
      <c r="H12">
        <v>0</v>
      </c>
      <c r="I12" t="str">
        <f t="shared" si="0"/>
        <v>Poor Sleeper</v>
      </c>
      <c r="J12">
        <f t="shared" si="1"/>
        <v>0</v>
      </c>
      <c r="K12">
        <f t="shared" si="2"/>
        <v>1</v>
      </c>
    </row>
    <row r="13" spans="1:11" x14ac:dyDescent="0.35">
      <c r="A13">
        <v>22.09</v>
      </c>
      <c r="B13">
        <v>8.2200000000000006</v>
      </c>
      <c r="C13">
        <v>1.65</v>
      </c>
      <c r="D13">
        <v>8.76</v>
      </c>
      <c r="E13">
        <v>23.13</v>
      </c>
      <c r="F13" t="s">
        <v>8</v>
      </c>
      <c r="G13" t="s">
        <v>11</v>
      </c>
      <c r="H13">
        <v>0</v>
      </c>
      <c r="I13" t="str">
        <f t="shared" si="0"/>
        <v>Good Sleeper</v>
      </c>
      <c r="J13">
        <f t="shared" si="1"/>
        <v>0</v>
      </c>
      <c r="K13">
        <f t="shared" si="2"/>
        <v>1</v>
      </c>
    </row>
    <row r="14" spans="1:11" x14ac:dyDescent="0.35">
      <c r="A14">
        <v>62.39</v>
      </c>
      <c r="B14">
        <v>6.36</v>
      </c>
      <c r="C14">
        <v>1.65</v>
      </c>
      <c r="D14">
        <v>7.52</v>
      </c>
      <c r="E14">
        <v>13.41</v>
      </c>
      <c r="F14" t="s">
        <v>10</v>
      </c>
      <c r="G14" t="s">
        <v>11</v>
      </c>
      <c r="H14">
        <v>0</v>
      </c>
      <c r="I14" t="str">
        <f t="shared" si="0"/>
        <v>Good Sleeper</v>
      </c>
      <c r="J14">
        <f t="shared" si="1"/>
        <v>1</v>
      </c>
      <c r="K14">
        <f t="shared" si="2"/>
        <v>1</v>
      </c>
    </row>
    <row r="15" spans="1:11" x14ac:dyDescent="0.35">
      <c r="A15">
        <v>52.13</v>
      </c>
      <c r="B15">
        <v>2.94</v>
      </c>
      <c r="C15">
        <v>1.71</v>
      </c>
      <c r="D15">
        <v>5.66</v>
      </c>
      <c r="E15">
        <v>31.1</v>
      </c>
      <c r="F15" t="s">
        <v>10</v>
      </c>
      <c r="G15" t="s">
        <v>11</v>
      </c>
      <c r="H15">
        <v>0</v>
      </c>
      <c r="I15" t="str">
        <f t="shared" si="0"/>
        <v>Poor Sleeper</v>
      </c>
      <c r="J15">
        <f t="shared" si="1"/>
        <v>0</v>
      </c>
      <c r="K15">
        <f t="shared" si="2"/>
        <v>1</v>
      </c>
    </row>
    <row r="16" spans="1:11" x14ac:dyDescent="0.35">
      <c r="A16">
        <v>57.28</v>
      </c>
      <c r="B16">
        <v>5.93</v>
      </c>
      <c r="C16">
        <v>2.2000000000000002</v>
      </c>
      <c r="D16">
        <v>8.16</v>
      </c>
      <c r="E16">
        <v>29.72</v>
      </c>
      <c r="F16" t="s">
        <v>9</v>
      </c>
      <c r="G16" t="s">
        <v>11</v>
      </c>
      <c r="H16">
        <v>0</v>
      </c>
      <c r="I16" t="str">
        <f t="shared" si="0"/>
        <v>Poor Sleeper</v>
      </c>
      <c r="J16">
        <f t="shared" si="1"/>
        <v>1</v>
      </c>
      <c r="K16">
        <f t="shared" si="2"/>
        <v>1</v>
      </c>
    </row>
    <row r="17" spans="1:11" x14ac:dyDescent="0.35">
      <c r="A17">
        <v>50.94</v>
      </c>
      <c r="B17">
        <v>10.3</v>
      </c>
      <c r="C17">
        <v>2.21</v>
      </c>
      <c r="D17">
        <v>5.22</v>
      </c>
      <c r="E17">
        <v>13.84</v>
      </c>
      <c r="F17" t="s">
        <v>8</v>
      </c>
      <c r="G17" t="s">
        <v>11</v>
      </c>
      <c r="H17">
        <v>0</v>
      </c>
      <c r="I17" t="str">
        <f t="shared" si="0"/>
        <v>Good Sleeper</v>
      </c>
      <c r="J17">
        <f t="shared" si="1"/>
        <v>1</v>
      </c>
      <c r="K17">
        <f t="shared" si="2"/>
        <v>1</v>
      </c>
    </row>
    <row r="18" spans="1:11" x14ac:dyDescent="0.35">
      <c r="A18">
        <v>44.56</v>
      </c>
      <c r="B18">
        <v>5.13</v>
      </c>
      <c r="C18">
        <v>2.2400000000000002</v>
      </c>
      <c r="D18">
        <v>9.08</v>
      </c>
      <c r="E18">
        <v>40.24</v>
      </c>
      <c r="F18" t="s">
        <v>10</v>
      </c>
      <c r="G18" t="s">
        <v>11</v>
      </c>
      <c r="H18">
        <v>0</v>
      </c>
      <c r="I18" t="str">
        <f t="shared" si="0"/>
        <v>Poor Sleeper</v>
      </c>
      <c r="J18">
        <f t="shared" si="1"/>
        <v>0</v>
      </c>
      <c r="K18">
        <f t="shared" si="2"/>
        <v>1</v>
      </c>
    </row>
    <row r="19" spans="1:11" x14ac:dyDescent="0.35">
      <c r="A19">
        <v>72.400000000000006</v>
      </c>
      <c r="B19">
        <v>8.51</v>
      </c>
      <c r="C19">
        <v>2.31</v>
      </c>
      <c r="D19">
        <v>6.12</v>
      </c>
      <c r="E19">
        <v>52.28</v>
      </c>
      <c r="F19" t="s">
        <v>9</v>
      </c>
      <c r="G19" t="s">
        <v>11</v>
      </c>
      <c r="H19">
        <v>0</v>
      </c>
      <c r="I19" t="str">
        <f t="shared" si="0"/>
        <v>Good Sleeper</v>
      </c>
      <c r="J19">
        <f t="shared" si="1"/>
        <v>0</v>
      </c>
      <c r="K19">
        <f t="shared" si="2"/>
        <v>1</v>
      </c>
    </row>
    <row r="20" spans="1:11" x14ac:dyDescent="0.35">
      <c r="A20">
        <v>29.64</v>
      </c>
      <c r="B20">
        <v>6.93</v>
      </c>
      <c r="C20">
        <v>2.5499999999999998</v>
      </c>
      <c r="D20">
        <v>6.85</v>
      </c>
      <c r="E20">
        <v>25.74</v>
      </c>
      <c r="F20" t="s">
        <v>10</v>
      </c>
      <c r="G20" t="s">
        <v>11</v>
      </c>
      <c r="H20">
        <v>0</v>
      </c>
      <c r="I20" t="str">
        <f t="shared" si="0"/>
        <v>Good Sleeper</v>
      </c>
      <c r="J20">
        <f t="shared" si="1"/>
        <v>0</v>
      </c>
      <c r="K20">
        <f t="shared" si="2"/>
        <v>1</v>
      </c>
    </row>
    <row r="21" spans="1:11" x14ac:dyDescent="0.35">
      <c r="A21">
        <v>51.48</v>
      </c>
      <c r="B21">
        <v>5.59</v>
      </c>
      <c r="C21">
        <v>2.57</v>
      </c>
      <c r="D21">
        <v>8.99</v>
      </c>
      <c r="E21">
        <v>43.37</v>
      </c>
      <c r="F21" t="s">
        <v>8</v>
      </c>
      <c r="G21" t="s">
        <v>11</v>
      </c>
      <c r="H21">
        <v>0</v>
      </c>
      <c r="I21" t="str">
        <f t="shared" si="0"/>
        <v>Poor Sleeper</v>
      </c>
      <c r="J21">
        <f t="shared" si="1"/>
        <v>0</v>
      </c>
      <c r="K21">
        <f t="shared" si="2"/>
        <v>1</v>
      </c>
    </row>
    <row r="22" spans="1:11" x14ac:dyDescent="0.35">
      <c r="A22">
        <v>47.95</v>
      </c>
      <c r="B22">
        <v>6.55</v>
      </c>
      <c r="C22">
        <v>2.75</v>
      </c>
      <c r="D22">
        <v>1</v>
      </c>
      <c r="E22">
        <v>47.22</v>
      </c>
      <c r="F22" t="s">
        <v>10</v>
      </c>
      <c r="G22" t="s">
        <v>11</v>
      </c>
      <c r="H22">
        <v>0</v>
      </c>
      <c r="I22" t="str">
        <f t="shared" si="0"/>
        <v>Good Sleeper</v>
      </c>
      <c r="J22">
        <f t="shared" si="1"/>
        <v>0</v>
      </c>
      <c r="K22">
        <f t="shared" si="2"/>
        <v>1</v>
      </c>
    </row>
    <row r="23" spans="1:11" x14ac:dyDescent="0.35">
      <c r="A23">
        <v>26.37</v>
      </c>
      <c r="B23">
        <v>4.26</v>
      </c>
      <c r="C23">
        <v>2.82</v>
      </c>
      <c r="D23">
        <v>8.93</v>
      </c>
      <c r="E23">
        <v>40.119999999999997</v>
      </c>
      <c r="F23" t="s">
        <v>8</v>
      </c>
      <c r="G23" t="s">
        <v>11</v>
      </c>
      <c r="H23">
        <v>0</v>
      </c>
      <c r="I23" t="str">
        <f t="shared" si="0"/>
        <v>Poor Sleeper</v>
      </c>
      <c r="J23">
        <f t="shared" si="1"/>
        <v>0</v>
      </c>
      <c r="K23">
        <f t="shared" si="2"/>
        <v>1</v>
      </c>
    </row>
    <row r="24" spans="1:11" x14ac:dyDescent="0.35">
      <c r="A24">
        <v>39.520000000000003</v>
      </c>
      <c r="B24">
        <v>3.64</v>
      </c>
      <c r="C24">
        <v>2.96</v>
      </c>
      <c r="D24">
        <v>5.3</v>
      </c>
      <c r="E24">
        <v>22.91</v>
      </c>
      <c r="F24" t="s">
        <v>10</v>
      </c>
      <c r="G24" t="s">
        <v>11</v>
      </c>
      <c r="H24">
        <v>0</v>
      </c>
      <c r="I24" t="str">
        <f t="shared" si="0"/>
        <v>Poor Sleeper</v>
      </c>
      <c r="J24">
        <f t="shared" si="1"/>
        <v>0</v>
      </c>
      <c r="K24">
        <f t="shared" si="2"/>
        <v>1</v>
      </c>
    </row>
    <row r="25" spans="1:11" x14ac:dyDescent="0.35">
      <c r="A25">
        <v>52.72</v>
      </c>
      <c r="B25">
        <v>3.59</v>
      </c>
      <c r="C25">
        <v>3.17</v>
      </c>
      <c r="D25">
        <v>7.37</v>
      </c>
      <c r="E25">
        <v>49.28</v>
      </c>
      <c r="F25" t="s">
        <v>10</v>
      </c>
      <c r="G25" t="s">
        <v>11</v>
      </c>
      <c r="H25">
        <v>0</v>
      </c>
      <c r="I25" t="str">
        <f t="shared" si="0"/>
        <v>Poor Sleeper</v>
      </c>
      <c r="J25">
        <f t="shared" si="1"/>
        <v>0</v>
      </c>
      <c r="K25">
        <f t="shared" si="2"/>
        <v>1</v>
      </c>
    </row>
    <row r="26" spans="1:11" x14ac:dyDescent="0.35">
      <c r="A26">
        <v>72.31</v>
      </c>
      <c r="B26">
        <v>6.35</v>
      </c>
      <c r="C26">
        <v>3.18</v>
      </c>
      <c r="D26">
        <v>7.15</v>
      </c>
      <c r="E26">
        <v>18.829999999999998</v>
      </c>
      <c r="F26" t="s">
        <v>8</v>
      </c>
      <c r="G26" t="s">
        <v>11</v>
      </c>
      <c r="H26">
        <v>0</v>
      </c>
      <c r="I26" t="str">
        <f t="shared" si="0"/>
        <v>Good Sleeper</v>
      </c>
      <c r="J26">
        <f t="shared" si="1"/>
        <v>1</v>
      </c>
      <c r="K26">
        <f t="shared" si="2"/>
        <v>1</v>
      </c>
    </row>
    <row r="27" spans="1:11" x14ac:dyDescent="0.35">
      <c r="A27">
        <v>40.299999999999997</v>
      </c>
      <c r="B27">
        <v>7.1</v>
      </c>
      <c r="C27">
        <v>3.31</v>
      </c>
      <c r="D27">
        <v>10.51</v>
      </c>
      <c r="E27">
        <v>50.39</v>
      </c>
      <c r="F27" t="s">
        <v>10</v>
      </c>
      <c r="G27" t="s">
        <v>11</v>
      </c>
      <c r="H27">
        <v>0</v>
      </c>
      <c r="I27" t="str">
        <f t="shared" si="0"/>
        <v>Good Sleeper</v>
      </c>
      <c r="J27">
        <f t="shared" si="1"/>
        <v>0</v>
      </c>
      <c r="K27">
        <f t="shared" si="2"/>
        <v>1</v>
      </c>
    </row>
    <row r="28" spans="1:11" x14ac:dyDescent="0.35">
      <c r="A28">
        <v>43.27</v>
      </c>
      <c r="B28">
        <v>4.28</v>
      </c>
      <c r="C28">
        <v>3.58</v>
      </c>
      <c r="D28">
        <v>7.26</v>
      </c>
      <c r="E28">
        <v>47.28</v>
      </c>
      <c r="F28" t="s">
        <v>9</v>
      </c>
      <c r="G28" t="s">
        <v>11</v>
      </c>
      <c r="H28">
        <v>0</v>
      </c>
      <c r="I28" t="str">
        <f t="shared" si="0"/>
        <v>Poor Sleeper</v>
      </c>
      <c r="J28">
        <f t="shared" si="1"/>
        <v>0</v>
      </c>
      <c r="K28">
        <f t="shared" si="2"/>
        <v>1</v>
      </c>
    </row>
    <row r="29" spans="1:11" x14ac:dyDescent="0.35">
      <c r="A29">
        <v>36.17</v>
      </c>
      <c r="B29">
        <v>8.26</v>
      </c>
      <c r="C29">
        <v>3.85</v>
      </c>
      <c r="D29">
        <v>11.84</v>
      </c>
      <c r="E29">
        <v>44.88</v>
      </c>
      <c r="F29" t="s">
        <v>10</v>
      </c>
      <c r="G29" t="s">
        <v>11</v>
      </c>
      <c r="H29">
        <v>0</v>
      </c>
      <c r="I29" t="str">
        <f t="shared" si="0"/>
        <v>Good Sleeper</v>
      </c>
      <c r="J29">
        <f t="shared" si="1"/>
        <v>0</v>
      </c>
      <c r="K29">
        <f t="shared" si="2"/>
        <v>1</v>
      </c>
    </row>
    <row r="30" spans="1:11" x14ac:dyDescent="0.35">
      <c r="A30">
        <v>11.46</v>
      </c>
      <c r="B30">
        <v>3.12</v>
      </c>
      <c r="C30">
        <v>4.1399999999999997</v>
      </c>
      <c r="D30">
        <v>9.4600000000000009</v>
      </c>
      <c r="E30">
        <v>16.04</v>
      </c>
      <c r="F30" t="s">
        <v>10</v>
      </c>
      <c r="G30" t="s">
        <v>11</v>
      </c>
      <c r="H30">
        <v>0</v>
      </c>
      <c r="I30" t="str">
        <f t="shared" si="0"/>
        <v>Poor Sleeper</v>
      </c>
      <c r="J30">
        <f t="shared" si="1"/>
        <v>0</v>
      </c>
      <c r="K30">
        <f t="shared" si="2"/>
        <v>1</v>
      </c>
    </row>
    <row r="31" spans="1:11" x14ac:dyDescent="0.35">
      <c r="A31">
        <v>58.06</v>
      </c>
      <c r="B31">
        <v>5.23</v>
      </c>
      <c r="C31">
        <v>4.16</v>
      </c>
      <c r="D31">
        <v>2.95</v>
      </c>
      <c r="E31">
        <v>32.51</v>
      </c>
      <c r="F31" t="s">
        <v>8</v>
      </c>
      <c r="G31" t="s">
        <v>11</v>
      </c>
      <c r="H31">
        <v>0</v>
      </c>
      <c r="I31" t="str">
        <f t="shared" si="0"/>
        <v>Poor Sleeper</v>
      </c>
      <c r="J31">
        <f t="shared" si="1"/>
        <v>0</v>
      </c>
      <c r="K31">
        <f t="shared" si="2"/>
        <v>1</v>
      </c>
    </row>
    <row r="32" spans="1:11" x14ac:dyDescent="0.35">
      <c r="A32">
        <v>16.73</v>
      </c>
      <c r="B32">
        <v>7.5</v>
      </c>
      <c r="C32">
        <v>4.17</v>
      </c>
      <c r="D32">
        <v>7.76</v>
      </c>
      <c r="E32">
        <v>37.450000000000003</v>
      </c>
      <c r="F32" t="s">
        <v>8</v>
      </c>
      <c r="G32" t="s">
        <v>11</v>
      </c>
      <c r="H32">
        <v>0</v>
      </c>
      <c r="I32" t="str">
        <f t="shared" si="0"/>
        <v>Good Sleeper</v>
      </c>
      <c r="J32">
        <f t="shared" si="1"/>
        <v>0</v>
      </c>
      <c r="K32">
        <f t="shared" si="2"/>
        <v>1</v>
      </c>
    </row>
    <row r="33" spans="1:11" x14ac:dyDescent="0.35">
      <c r="A33">
        <v>18.64</v>
      </c>
      <c r="B33">
        <v>10.74</v>
      </c>
      <c r="C33">
        <v>4.1900000000000004</v>
      </c>
      <c r="D33">
        <v>6.04</v>
      </c>
      <c r="E33">
        <v>25.93</v>
      </c>
      <c r="F33" t="s">
        <v>9</v>
      </c>
      <c r="G33" t="s">
        <v>11</v>
      </c>
      <c r="H33">
        <v>0</v>
      </c>
      <c r="I33" t="str">
        <f t="shared" si="0"/>
        <v>Good Sleeper</v>
      </c>
      <c r="J33">
        <f t="shared" si="1"/>
        <v>0</v>
      </c>
      <c r="K33">
        <f t="shared" si="2"/>
        <v>1</v>
      </c>
    </row>
    <row r="34" spans="1:11" x14ac:dyDescent="0.35">
      <c r="A34">
        <v>47.72</v>
      </c>
      <c r="B34">
        <v>7.48</v>
      </c>
      <c r="C34">
        <v>4.1900000000000004</v>
      </c>
      <c r="D34">
        <v>4.83</v>
      </c>
      <c r="E34">
        <v>65.13</v>
      </c>
      <c r="F34" t="s">
        <v>9</v>
      </c>
      <c r="G34" t="s">
        <v>11</v>
      </c>
      <c r="H34">
        <v>0</v>
      </c>
      <c r="I34" t="str">
        <f t="shared" si="0"/>
        <v>Good Sleeper</v>
      </c>
      <c r="J34">
        <f t="shared" ref="J34:J65" si="3">IF(AND(A34&gt;50,E34&lt;30),1,0)</f>
        <v>0</v>
      </c>
      <c r="K34">
        <f t="shared" ref="K34:K65" si="4">IF(C34&gt;0,1,0)</f>
        <v>1</v>
      </c>
    </row>
    <row r="35" spans="1:11" x14ac:dyDescent="0.35">
      <c r="A35">
        <v>56.89</v>
      </c>
      <c r="B35">
        <v>5.86</v>
      </c>
      <c r="C35">
        <v>4.68</v>
      </c>
      <c r="D35">
        <v>6.57</v>
      </c>
      <c r="E35">
        <v>30.18</v>
      </c>
      <c r="F35" t="s">
        <v>8</v>
      </c>
      <c r="G35" t="s">
        <v>11</v>
      </c>
      <c r="H35">
        <v>0</v>
      </c>
      <c r="I35" t="str">
        <f t="shared" si="0"/>
        <v>Poor Sleeper</v>
      </c>
      <c r="J35">
        <f t="shared" si="3"/>
        <v>0</v>
      </c>
      <c r="K35">
        <f t="shared" si="4"/>
        <v>1</v>
      </c>
    </row>
    <row r="36" spans="1:11" x14ac:dyDescent="0.35">
      <c r="A36">
        <v>28.64</v>
      </c>
      <c r="B36">
        <v>7.05</v>
      </c>
      <c r="C36">
        <v>4.7699999999999996</v>
      </c>
      <c r="D36">
        <v>9.5</v>
      </c>
      <c r="E36">
        <v>23.07</v>
      </c>
      <c r="F36" t="s">
        <v>9</v>
      </c>
      <c r="G36" t="s">
        <v>11</v>
      </c>
      <c r="H36">
        <v>0</v>
      </c>
      <c r="I36" t="str">
        <f t="shared" si="0"/>
        <v>Good Sleeper</v>
      </c>
      <c r="J36">
        <f t="shared" si="3"/>
        <v>0</v>
      </c>
      <c r="K36">
        <f t="shared" si="4"/>
        <v>1</v>
      </c>
    </row>
    <row r="37" spans="1:11" x14ac:dyDescent="0.35">
      <c r="A37">
        <v>59.43</v>
      </c>
      <c r="B37">
        <v>6.24</v>
      </c>
      <c r="C37">
        <v>4.8099999999999996</v>
      </c>
      <c r="D37">
        <v>5.13</v>
      </c>
      <c r="E37">
        <v>20.95</v>
      </c>
      <c r="F37" t="s">
        <v>8</v>
      </c>
      <c r="G37" t="s">
        <v>11</v>
      </c>
      <c r="H37">
        <v>0</v>
      </c>
      <c r="I37" t="str">
        <f t="shared" si="0"/>
        <v>Good Sleeper</v>
      </c>
      <c r="J37">
        <f t="shared" si="3"/>
        <v>1</v>
      </c>
      <c r="K37">
        <f t="shared" si="4"/>
        <v>1</v>
      </c>
    </row>
    <row r="38" spans="1:11" x14ac:dyDescent="0.35">
      <c r="A38">
        <v>63.49</v>
      </c>
      <c r="B38">
        <v>7.2</v>
      </c>
      <c r="C38">
        <v>4.92</v>
      </c>
      <c r="D38">
        <v>5.98</v>
      </c>
      <c r="E38">
        <v>28</v>
      </c>
      <c r="F38" t="s">
        <v>10</v>
      </c>
      <c r="G38" t="s">
        <v>11</v>
      </c>
      <c r="H38">
        <v>0</v>
      </c>
      <c r="I38" t="str">
        <f t="shared" si="0"/>
        <v>Good Sleeper</v>
      </c>
      <c r="J38">
        <f t="shared" si="3"/>
        <v>1</v>
      </c>
      <c r="K38">
        <f t="shared" si="4"/>
        <v>1</v>
      </c>
    </row>
    <row r="39" spans="1:11" x14ac:dyDescent="0.35">
      <c r="A39">
        <v>87.33</v>
      </c>
      <c r="B39">
        <v>6.71</v>
      </c>
      <c r="C39">
        <v>4.99</v>
      </c>
      <c r="D39">
        <v>8.58</v>
      </c>
      <c r="E39">
        <v>25.58</v>
      </c>
      <c r="F39" t="s">
        <v>10</v>
      </c>
      <c r="G39" t="s">
        <v>11</v>
      </c>
      <c r="H39">
        <v>0</v>
      </c>
      <c r="I39" t="str">
        <f t="shared" si="0"/>
        <v>Good Sleeper</v>
      </c>
      <c r="J39">
        <f t="shared" si="3"/>
        <v>1</v>
      </c>
      <c r="K39">
        <f t="shared" si="4"/>
        <v>1</v>
      </c>
    </row>
    <row r="40" spans="1:11" x14ac:dyDescent="0.35">
      <c r="A40">
        <v>38.97</v>
      </c>
      <c r="B40">
        <v>11.19</v>
      </c>
      <c r="C40">
        <v>5.03</v>
      </c>
      <c r="D40">
        <v>5.24</v>
      </c>
      <c r="E40">
        <v>53.66</v>
      </c>
      <c r="F40" t="s">
        <v>10</v>
      </c>
      <c r="G40" t="s">
        <v>11</v>
      </c>
      <c r="H40">
        <v>0</v>
      </c>
      <c r="I40" t="str">
        <f t="shared" si="0"/>
        <v>Good Sleeper</v>
      </c>
      <c r="J40">
        <f t="shared" si="3"/>
        <v>0</v>
      </c>
      <c r="K40">
        <f t="shared" si="4"/>
        <v>1</v>
      </c>
    </row>
    <row r="41" spans="1:11" x14ac:dyDescent="0.35">
      <c r="A41">
        <v>49.11</v>
      </c>
      <c r="B41">
        <v>5.3</v>
      </c>
      <c r="C41">
        <v>5.16</v>
      </c>
      <c r="D41">
        <v>9</v>
      </c>
      <c r="E41">
        <v>20.48</v>
      </c>
      <c r="F41" t="s">
        <v>8</v>
      </c>
      <c r="G41" t="s">
        <v>11</v>
      </c>
      <c r="H41">
        <v>0</v>
      </c>
      <c r="I41" t="str">
        <f t="shared" si="0"/>
        <v>Poor Sleeper</v>
      </c>
      <c r="J41">
        <f t="shared" si="3"/>
        <v>0</v>
      </c>
      <c r="K41">
        <f t="shared" si="4"/>
        <v>1</v>
      </c>
    </row>
    <row r="42" spans="1:11" x14ac:dyDescent="0.35">
      <c r="A42">
        <v>80.38</v>
      </c>
      <c r="B42">
        <v>5.14</v>
      </c>
      <c r="C42">
        <v>5.39</v>
      </c>
      <c r="D42">
        <v>6.11</v>
      </c>
      <c r="E42">
        <v>45.57</v>
      </c>
      <c r="F42" t="s">
        <v>8</v>
      </c>
      <c r="G42" t="s">
        <v>11</v>
      </c>
      <c r="H42">
        <v>0</v>
      </c>
      <c r="I42" t="str">
        <f t="shared" si="0"/>
        <v>Poor Sleeper</v>
      </c>
      <c r="J42">
        <f t="shared" si="3"/>
        <v>0</v>
      </c>
      <c r="K42">
        <f t="shared" si="4"/>
        <v>1</v>
      </c>
    </row>
    <row r="43" spans="1:11" x14ac:dyDescent="0.35">
      <c r="A43">
        <v>59.98</v>
      </c>
      <c r="B43">
        <v>3.37</v>
      </c>
      <c r="C43">
        <v>5.71</v>
      </c>
      <c r="D43">
        <v>2.85</v>
      </c>
      <c r="E43">
        <v>28.14</v>
      </c>
      <c r="F43" t="s">
        <v>10</v>
      </c>
      <c r="G43" t="s">
        <v>11</v>
      </c>
      <c r="H43">
        <v>0</v>
      </c>
      <c r="I43" t="str">
        <f t="shared" si="0"/>
        <v>Poor Sleeper</v>
      </c>
      <c r="J43">
        <f t="shared" si="3"/>
        <v>1</v>
      </c>
      <c r="K43">
        <f t="shared" si="4"/>
        <v>1</v>
      </c>
    </row>
    <row r="44" spans="1:11" x14ac:dyDescent="0.35">
      <c r="A44">
        <v>39.729999999999997</v>
      </c>
      <c r="B44">
        <v>8.1199999999999992</v>
      </c>
      <c r="C44">
        <v>5.79</v>
      </c>
      <c r="D44">
        <v>4.9400000000000004</v>
      </c>
      <c r="E44">
        <v>42.86</v>
      </c>
      <c r="F44" t="s">
        <v>10</v>
      </c>
      <c r="G44" t="s">
        <v>11</v>
      </c>
      <c r="H44">
        <v>0</v>
      </c>
      <c r="I44" t="str">
        <f t="shared" si="0"/>
        <v>Good Sleeper</v>
      </c>
      <c r="J44">
        <f t="shared" si="3"/>
        <v>0</v>
      </c>
      <c r="K44">
        <f t="shared" si="4"/>
        <v>1</v>
      </c>
    </row>
    <row r="45" spans="1:11" x14ac:dyDescent="0.35">
      <c r="A45">
        <v>37.049999999999997</v>
      </c>
      <c r="B45">
        <v>2.15</v>
      </c>
      <c r="C45">
        <v>6.47</v>
      </c>
      <c r="D45">
        <v>7.86</v>
      </c>
      <c r="E45">
        <v>46.7</v>
      </c>
      <c r="F45" t="s">
        <v>10</v>
      </c>
      <c r="G45" t="s">
        <v>11</v>
      </c>
      <c r="H45">
        <v>0</v>
      </c>
      <c r="I45" t="str">
        <f t="shared" si="0"/>
        <v>Poor Sleeper</v>
      </c>
      <c r="J45">
        <f t="shared" si="3"/>
        <v>0</v>
      </c>
      <c r="K45">
        <f t="shared" si="4"/>
        <v>1</v>
      </c>
    </row>
    <row r="46" spans="1:11" x14ac:dyDescent="0.35">
      <c r="A46">
        <v>22.19</v>
      </c>
      <c r="B46">
        <v>8.75</v>
      </c>
      <c r="C46">
        <v>6.9</v>
      </c>
      <c r="D46">
        <v>6.46</v>
      </c>
      <c r="E46">
        <v>43.92</v>
      </c>
      <c r="F46" t="s">
        <v>9</v>
      </c>
      <c r="G46" t="s">
        <v>11</v>
      </c>
      <c r="H46">
        <v>0</v>
      </c>
      <c r="I46" t="str">
        <f t="shared" si="0"/>
        <v>Good Sleeper</v>
      </c>
      <c r="J46">
        <f t="shared" si="3"/>
        <v>0</v>
      </c>
      <c r="K46">
        <f t="shared" si="4"/>
        <v>1</v>
      </c>
    </row>
    <row r="47" spans="1:11" x14ac:dyDescent="0.35">
      <c r="A47">
        <v>23.34</v>
      </c>
      <c r="B47">
        <v>6.93</v>
      </c>
      <c r="C47">
        <v>7.61</v>
      </c>
      <c r="D47">
        <v>5.03</v>
      </c>
      <c r="E47">
        <v>20.99</v>
      </c>
      <c r="F47" t="s">
        <v>10</v>
      </c>
      <c r="G47" t="s">
        <v>11</v>
      </c>
      <c r="H47">
        <v>0</v>
      </c>
      <c r="I47" t="str">
        <f t="shared" si="0"/>
        <v>Good Sleeper</v>
      </c>
      <c r="J47">
        <f t="shared" si="3"/>
        <v>0</v>
      </c>
      <c r="K47">
        <f t="shared" si="4"/>
        <v>1</v>
      </c>
    </row>
    <row r="48" spans="1:11" x14ac:dyDescent="0.35">
      <c r="A48">
        <v>13.77</v>
      </c>
      <c r="B48">
        <v>4.37</v>
      </c>
      <c r="C48">
        <v>0</v>
      </c>
      <c r="D48">
        <v>1</v>
      </c>
      <c r="E48">
        <v>24.94</v>
      </c>
      <c r="F48" t="s">
        <v>9</v>
      </c>
      <c r="G48" t="s">
        <v>13</v>
      </c>
      <c r="H48">
        <v>0</v>
      </c>
      <c r="I48" t="str">
        <f t="shared" si="0"/>
        <v>Poor Sleeper</v>
      </c>
      <c r="J48">
        <f t="shared" si="3"/>
        <v>0</v>
      </c>
      <c r="K48">
        <f t="shared" si="4"/>
        <v>0</v>
      </c>
    </row>
    <row r="49" spans="1:11" x14ac:dyDescent="0.35">
      <c r="A49">
        <v>63.01</v>
      </c>
      <c r="B49">
        <v>8.18</v>
      </c>
      <c r="C49">
        <v>0</v>
      </c>
      <c r="D49">
        <v>6.27</v>
      </c>
      <c r="E49">
        <v>45.12</v>
      </c>
      <c r="F49" t="s">
        <v>9</v>
      </c>
      <c r="G49" t="s">
        <v>13</v>
      </c>
      <c r="H49">
        <v>0</v>
      </c>
      <c r="I49" t="str">
        <f t="shared" si="0"/>
        <v>Good Sleeper</v>
      </c>
      <c r="J49">
        <f t="shared" si="3"/>
        <v>0</v>
      </c>
      <c r="K49">
        <f t="shared" si="4"/>
        <v>0</v>
      </c>
    </row>
    <row r="50" spans="1:11" x14ac:dyDescent="0.35">
      <c r="A50">
        <v>35.58</v>
      </c>
      <c r="B50">
        <v>7.97</v>
      </c>
      <c r="C50">
        <v>0</v>
      </c>
      <c r="D50">
        <v>4.45</v>
      </c>
      <c r="E50">
        <v>10.029999999999999</v>
      </c>
      <c r="F50" t="s">
        <v>10</v>
      </c>
      <c r="G50" t="s">
        <v>13</v>
      </c>
      <c r="H50">
        <v>0</v>
      </c>
      <c r="I50" t="str">
        <f t="shared" si="0"/>
        <v>Good Sleeper</v>
      </c>
      <c r="J50">
        <f t="shared" si="3"/>
        <v>0</v>
      </c>
      <c r="K50">
        <f t="shared" si="4"/>
        <v>0</v>
      </c>
    </row>
    <row r="51" spans="1:11" x14ac:dyDescent="0.35">
      <c r="A51">
        <v>50.78</v>
      </c>
      <c r="B51">
        <v>8.8800000000000008</v>
      </c>
      <c r="C51">
        <v>0</v>
      </c>
      <c r="D51">
        <v>6.98</v>
      </c>
      <c r="E51">
        <v>13.66</v>
      </c>
      <c r="F51" t="s">
        <v>10</v>
      </c>
      <c r="G51" t="s">
        <v>13</v>
      </c>
      <c r="H51">
        <v>0</v>
      </c>
      <c r="I51" t="str">
        <f t="shared" si="0"/>
        <v>Good Sleeper</v>
      </c>
      <c r="J51">
        <f t="shared" si="3"/>
        <v>1</v>
      </c>
      <c r="K51">
        <f t="shared" si="4"/>
        <v>0</v>
      </c>
    </row>
    <row r="52" spans="1:11" x14ac:dyDescent="0.35">
      <c r="A52">
        <v>43.26</v>
      </c>
      <c r="B52">
        <v>4.41</v>
      </c>
      <c r="C52">
        <v>0.91</v>
      </c>
      <c r="D52">
        <v>8.16</v>
      </c>
      <c r="E52">
        <v>42.47</v>
      </c>
      <c r="F52" t="s">
        <v>10</v>
      </c>
      <c r="G52" t="s">
        <v>13</v>
      </c>
      <c r="H52">
        <v>0</v>
      </c>
      <c r="I52" t="str">
        <f t="shared" si="0"/>
        <v>Poor Sleeper</v>
      </c>
      <c r="J52">
        <f t="shared" si="3"/>
        <v>0</v>
      </c>
      <c r="K52">
        <f t="shared" si="4"/>
        <v>1</v>
      </c>
    </row>
    <row r="53" spans="1:11" x14ac:dyDescent="0.35">
      <c r="A53">
        <v>58.23</v>
      </c>
      <c r="B53">
        <v>9.7899999999999991</v>
      </c>
      <c r="C53">
        <v>0.91</v>
      </c>
      <c r="D53">
        <v>4.2</v>
      </c>
      <c r="E53">
        <v>41.68</v>
      </c>
      <c r="F53" t="s">
        <v>10</v>
      </c>
      <c r="G53" t="s">
        <v>13</v>
      </c>
      <c r="H53">
        <v>0</v>
      </c>
      <c r="I53" t="str">
        <f t="shared" si="0"/>
        <v>Good Sleeper</v>
      </c>
      <c r="J53">
        <f t="shared" si="3"/>
        <v>0</v>
      </c>
      <c r="K53">
        <f t="shared" si="4"/>
        <v>1</v>
      </c>
    </row>
    <row r="54" spans="1:11" x14ac:dyDescent="0.35">
      <c r="A54">
        <v>22.9</v>
      </c>
      <c r="B54">
        <v>3.85</v>
      </c>
      <c r="C54">
        <v>1.24</v>
      </c>
      <c r="D54">
        <v>7.79</v>
      </c>
      <c r="E54">
        <v>21.57</v>
      </c>
      <c r="F54" t="s">
        <v>8</v>
      </c>
      <c r="G54" t="s">
        <v>13</v>
      </c>
      <c r="H54">
        <v>0</v>
      </c>
      <c r="I54" t="str">
        <f t="shared" si="0"/>
        <v>Poor Sleeper</v>
      </c>
      <c r="J54">
        <f t="shared" si="3"/>
        <v>0</v>
      </c>
      <c r="K54">
        <f t="shared" si="4"/>
        <v>1</v>
      </c>
    </row>
    <row r="55" spans="1:11" x14ac:dyDescent="0.35">
      <c r="A55">
        <v>52.86</v>
      </c>
      <c r="B55">
        <v>7.5</v>
      </c>
      <c r="C55">
        <v>1.26</v>
      </c>
      <c r="D55">
        <v>6.94</v>
      </c>
      <c r="E55">
        <v>20.190000000000001</v>
      </c>
      <c r="F55" t="s">
        <v>9</v>
      </c>
      <c r="G55" t="s">
        <v>13</v>
      </c>
      <c r="H55">
        <v>0</v>
      </c>
      <c r="I55" t="str">
        <f t="shared" si="0"/>
        <v>Good Sleeper</v>
      </c>
      <c r="J55">
        <f t="shared" si="3"/>
        <v>1</v>
      </c>
      <c r="K55">
        <f t="shared" si="4"/>
        <v>1</v>
      </c>
    </row>
    <row r="56" spans="1:11" x14ac:dyDescent="0.35">
      <c r="A56">
        <v>61.14</v>
      </c>
      <c r="B56">
        <v>7.09</v>
      </c>
      <c r="C56">
        <v>1.37</v>
      </c>
      <c r="D56">
        <v>8.2799999999999994</v>
      </c>
      <c r="E56">
        <v>49.82</v>
      </c>
      <c r="F56" t="s">
        <v>8</v>
      </c>
      <c r="G56" t="s">
        <v>13</v>
      </c>
      <c r="H56">
        <v>0</v>
      </c>
      <c r="I56" t="str">
        <f t="shared" si="0"/>
        <v>Good Sleeper</v>
      </c>
      <c r="J56">
        <f t="shared" si="3"/>
        <v>0</v>
      </c>
      <c r="K56">
        <f t="shared" si="4"/>
        <v>1</v>
      </c>
    </row>
    <row r="57" spans="1:11" x14ac:dyDescent="0.35">
      <c r="A57">
        <v>21.66</v>
      </c>
      <c r="B57">
        <v>5.78</v>
      </c>
      <c r="C57">
        <v>1.68</v>
      </c>
      <c r="D57">
        <v>8.98</v>
      </c>
      <c r="E57">
        <v>2.84</v>
      </c>
      <c r="F57" t="s">
        <v>8</v>
      </c>
      <c r="G57" t="s">
        <v>13</v>
      </c>
      <c r="H57">
        <v>0</v>
      </c>
      <c r="I57" t="str">
        <f t="shared" si="0"/>
        <v>Poor Sleeper</v>
      </c>
      <c r="J57">
        <f t="shared" si="3"/>
        <v>0</v>
      </c>
      <c r="K57">
        <f t="shared" si="4"/>
        <v>1</v>
      </c>
    </row>
    <row r="58" spans="1:11" x14ac:dyDescent="0.35">
      <c r="A58">
        <v>12.64</v>
      </c>
      <c r="B58">
        <v>6.16</v>
      </c>
      <c r="C58">
        <v>2.06</v>
      </c>
      <c r="D58">
        <v>7.5</v>
      </c>
      <c r="E58">
        <v>11.69</v>
      </c>
      <c r="F58" t="s">
        <v>10</v>
      </c>
      <c r="G58" t="s">
        <v>13</v>
      </c>
      <c r="H58">
        <v>0</v>
      </c>
      <c r="I58" t="str">
        <f t="shared" si="0"/>
        <v>Good Sleeper</v>
      </c>
      <c r="J58">
        <f t="shared" si="3"/>
        <v>0</v>
      </c>
      <c r="K58">
        <f t="shared" si="4"/>
        <v>1</v>
      </c>
    </row>
    <row r="59" spans="1:11" x14ac:dyDescent="0.35">
      <c r="A59">
        <v>77.010000000000005</v>
      </c>
      <c r="B59">
        <v>9.83</v>
      </c>
      <c r="C59">
        <v>2.33</v>
      </c>
      <c r="D59">
        <v>8.85</v>
      </c>
      <c r="E59">
        <v>17.2</v>
      </c>
      <c r="F59" t="s">
        <v>10</v>
      </c>
      <c r="G59" t="s">
        <v>13</v>
      </c>
      <c r="H59">
        <v>0</v>
      </c>
      <c r="I59" t="str">
        <f t="shared" si="0"/>
        <v>Good Sleeper</v>
      </c>
      <c r="J59">
        <f t="shared" si="3"/>
        <v>1</v>
      </c>
      <c r="K59">
        <f t="shared" si="4"/>
        <v>1</v>
      </c>
    </row>
    <row r="60" spans="1:11" x14ac:dyDescent="0.35">
      <c r="A60">
        <v>69.94</v>
      </c>
      <c r="B60">
        <v>7.47</v>
      </c>
      <c r="C60">
        <v>2.4700000000000002</v>
      </c>
      <c r="D60">
        <v>5.59</v>
      </c>
      <c r="E60">
        <v>23.59</v>
      </c>
      <c r="F60" t="s">
        <v>10</v>
      </c>
      <c r="G60" t="s">
        <v>13</v>
      </c>
      <c r="H60">
        <v>0</v>
      </c>
      <c r="I60" t="str">
        <f t="shared" si="0"/>
        <v>Good Sleeper</v>
      </c>
      <c r="J60">
        <f t="shared" si="3"/>
        <v>1</v>
      </c>
      <c r="K60">
        <f t="shared" si="4"/>
        <v>1</v>
      </c>
    </row>
    <row r="61" spans="1:11" x14ac:dyDescent="0.35">
      <c r="A61">
        <v>62.35</v>
      </c>
      <c r="B61">
        <v>6.51</v>
      </c>
      <c r="C61">
        <v>2.5</v>
      </c>
      <c r="D61">
        <v>7.93</v>
      </c>
      <c r="E61">
        <v>3.68</v>
      </c>
      <c r="F61" t="s">
        <v>10</v>
      </c>
      <c r="G61" t="s">
        <v>13</v>
      </c>
      <c r="H61">
        <v>0</v>
      </c>
      <c r="I61" t="str">
        <f t="shared" si="0"/>
        <v>Good Sleeper</v>
      </c>
      <c r="J61">
        <f t="shared" si="3"/>
        <v>1</v>
      </c>
      <c r="K61">
        <f t="shared" si="4"/>
        <v>1</v>
      </c>
    </row>
    <row r="62" spans="1:11" x14ac:dyDescent="0.35">
      <c r="A62">
        <v>50.7</v>
      </c>
      <c r="B62">
        <v>7.19</v>
      </c>
      <c r="C62">
        <v>3.11</v>
      </c>
      <c r="D62">
        <v>4.55</v>
      </c>
      <c r="E62">
        <v>51.35</v>
      </c>
      <c r="F62" t="s">
        <v>10</v>
      </c>
      <c r="G62" t="s">
        <v>13</v>
      </c>
      <c r="H62">
        <v>0</v>
      </c>
      <c r="I62" t="str">
        <f t="shared" si="0"/>
        <v>Good Sleeper</v>
      </c>
      <c r="J62">
        <f t="shared" si="3"/>
        <v>0</v>
      </c>
      <c r="K62">
        <f t="shared" si="4"/>
        <v>1</v>
      </c>
    </row>
    <row r="63" spans="1:11" x14ac:dyDescent="0.35">
      <c r="A63">
        <v>54.55</v>
      </c>
      <c r="B63">
        <v>7.59</v>
      </c>
      <c r="C63">
        <v>3.13</v>
      </c>
      <c r="D63">
        <v>2.4</v>
      </c>
      <c r="E63">
        <v>26.51</v>
      </c>
      <c r="F63" t="s">
        <v>10</v>
      </c>
      <c r="G63" t="s">
        <v>13</v>
      </c>
      <c r="H63">
        <v>0</v>
      </c>
      <c r="I63" t="str">
        <f t="shared" si="0"/>
        <v>Good Sleeper</v>
      </c>
      <c r="J63">
        <f t="shared" si="3"/>
        <v>1</v>
      </c>
      <c r="K63">
        <f t="shared" si="4"/>
        <v>1</v>
      </c>
    </row>
    <row r="64" spans="1:11" x14ac:dyDescent="0.35">
      <c r="A64">
        <v>45.93</v>
      </c>
      <c r="B64">
        <v>7.15</v>
      </c>
      <c r="C64">
        <v>3.14</v>
      </c>
      <c r="D64">
        <v>8.73</v>
      </c>
      <c r="E64">
        <v>25.42</v>
      </c>
      <c r="F64" t="s">
        <v>10</v>
      </c>
      <c r="G64" t="s">
        <v>13</v>
      </c>
      <c r="H64">
        <v>0</v>
      </c>
      <c r="I64" t="str">
        <f t="shared" si="0"/>
        <v>Good Sleeper</v>
      </c>
      <c r="J64">
        <f t="shared" si="3"/>
        <v>0</v>
      </c>
      <c r="K64">
        <f t="shared" si="4"/>
        <v>1</v>
      </c>
    </row>
    <row r="65" spans="1:11" x14ac:dyDescent="0.35">
      <c r="A65">
        <v>55.36</v>
      </c>
      <c r="B65">
        <v>7.33</v>
      </c>
      <c r="C65">
        <v>3.15</v>
      </c>
      <c r="D65">
        <v>6.79</v>
      </c>
      <c r="E65">
        <v>34.119999999999997</v>
      </c>
      <c r="F65" t="s">
        <v>9</v>
      </c>
      <c r="G65" t="s">
        <v>13</v>
      </c>
      <c r="H65">
        <v>0</v>
      </c>
      <c r="I65" t="str">
        <f t="shared" si="0"/>
        <v>Good Sleeper</v>
      </c>
      <c r="J65">
        <f t="shared" si="3"/>
        <v>0</v>
      </c>
      <c r="K65">
        <f t="shared" si="4"/>
        <v>1</v>
      </c>
    </row>
    <row r="66" spans="1:11" x14ac:dyDescent="0.35">
      <c r="A66">
        <v>37.659999999999997</v>
      </c>
      <c r="B66">
        <v>4.79</v>
      </c>
      <c r="C66">
        <v>3.32</v>
      </c>
      <c r="D66">
        <v>8.5500000000000007</v>
      </c>
      <c r="E66">
        <v>0</v>
      </c>
      <c r="F66" t="s">
        <v>8</v>
      </c>
      <c r="G66" t="s">
        <v>13</v>
      </c>
      <c r="H66">
        <v>0</v>
      </c>
      <c r="I66" t="str">
        <f t="shared" ref="I66:I129" si="5">IF(B66&gt;=6, "Good Sleeper", "Poor Sleeper")</f>
        <v>Poor Sleeper</v>
      </c>
      <c r="J66">
        <f t="shared" ref="J66:J97" si="6">IF(AND(A66&gt;50,E66&lt;30),1,0)</f>
        <v>0</v>
      </c>
      <c r="K66">
        <f t="shared" ref="K66:K97" si="7">IF(C66&gt;0,1,0)</f>
        <v>1</v>
      </c>
    </row>
    <row r="67" spans="1:11" x14ac:dyDescent="0.35">
      <c r="A67">
        <v>55.52</v>
      </c>
      <c r="B67">
        <v>6.33</v>
      </c>
      <c r="C67">
        <v>3.44</v>
      </c>
      <c r="D67">
        <v>5.71</v>
      </c>
      <c r="E67">
        <v>17.7</v>
      </c>
      <c r="F67" t="s">
        <v>10</v>
      </c>
      <c r="G67" t="s">
        <v>13</v>
      </c>
      <c r="H67">
        <v>0</v>
      </c>
      <c r="I67" t="str">
        <f t="shared" si="5"/>
        <v>Good Sleeper</v>
      </c>
      <c r="J67">
        <f t="shared" si="6"/>
        <v>1</v>
      </c>
      <c r="K67">
        <f t="shared" si="7"/>
        <v>1</v>
      </c>
    </row>
    <row r="68" spans="1:11" x14ac:dyDescent="0.35">
      <c r="A68">
        <v>42.94</v>
      </c>
      <c r="B68">
        <v>8.43</v>
      </c>
      <c r="C68">
        <v>3.65</v>
      </c>
      <c r="D68">
        <v>6.6</v>
      </c>
      <c r="E68">
        <v>37.130000000000003</v>
      </c>
      <c r="F68" t="s">
        <v>10</v>
      </c>
      <c r="G68" t="s">
        <v>13</v>
      </c>
      <c r="H68">
        <v>0</v>
      </c>
      <c r="I68" t="str">
        <f t="shared" si="5"/>
        <v>Good Sleeper</v>
      </c>
      <c r="J68">
        <f t="shared" si="6"/>
        <v>0</v>
      </c>
      <c r="K68">
        <f t="shared" si="7"/>
        <v>1</v>
      </c>
    </row>
    <row r="69" spans="1:11" x14ac:dyDescent="0.35">
      <c r="A69">
        <v>37.229999999999997</v>
      </c>
      <c r="B69">
        <v>8.33</v>
      </c>
      <c r="C69">
        <v>3.69</v>
      </c>
      <c r="D69">
        <v>7.82</v>
      </c>
      <c r="E69">
        <v>28.33</v>
      </c>
      <c r="F69" t="s">
        <v>8</v>
      </c>
      <c r="G69" t="s">
        <v>13</v>
      </c>
      <c r="H69">
        <v>0</v>
      </c>
      <c r="I69" t="str">
        <f t="shared" si="5"/>
        <v>Good Sleeper</v>
      </c>
      <c r="J69">
        <f t="shared" si="6"/>
        <v>0</v>
      </c>
      <c r="K69">
        <f t="shared" si="7"/>
        <v>1</v>
      </c>
    </row>
    <row r="70" spans="1:11" x14ac:dyDescent="0.35">
      <c r="A70">
        <v>84.39</v>
      </c>
      <c r="B70">
        <v>7.09</v>
      </c>
      <c r="C70">
        <v>3.71</v>
      </c>
      <c r="D70">
        <v>6.15</v>
      </c>
      <c r="E70">
        <v>41.17</v>
      </c>
      <c r="F70" t="s">
        <v>10</v>
      </c>
      <c r="G70" t="s">
        <v>13</v>
      </c>
      <c r="H70">
        <v>0</v>
      </c>
      <c r="I70" t="str">
        <f t="shared" si="5"/>
        <v>Good Sleeper</v>
      </c>
      <c r="J70">
        <f t="shared" si="6"/>
        <v>0</v>
      </c>
      <c r="K70">
        <f t="shared" si="7"/>
        <v>1</v>
      </c>
    </row>
    <row r="71" spans="1:11" x14ac:dyDescent="0.35">
      <c r="A71">
        <v>47.08</v>
      </c>
      <c r="B71">
        <v>5.1100000000000003</v>
      </c>
      <c r="C71">
        <v>3.79</v>
      </c>
      <c r="D71">
        <v>5.0999999999999996</v>
      </c>
      <c r="E71">
        <v>17.670000000000002</v>
      </c>
      <c r="F71" t="s">
        <v>8</v>
      </c>
      <c r="G71" t="s">
        <v>13</v>
      </c>
      <c r="H71">
        <v>0</v>
      </c>
      <c r="I71" t="str">
        <f t="shared" si="5"/>
        <v>Poor Sleeper</v>
      </c>
      <c r="J71">
        <f t="shared" si="6"/>
        <v>0</v>
      </c>
      <c r="K71">
        <f t="shared" si="7"/>
        <v>1</v>
      </c>
    </row>
    <row r="72" spans="1:11" x14ac:dyDescent="0.35">
      <c r="A72">
        <v>15.14</v>
      </c>
      <c r="B72">
        <v>5.24</v>
      </c>
      <c r="C72">
        <v>3.82</v>
      </c>
      <c r="D72">
        <v>7.79</v>
      </c>
      <c r="E72">
        <v>3.24</v>
      </c>
      <c r="F72" t="s">
        <v>10</v>
      </c>
      <c r="G72" t="s">
        <v>13</v>
      </c>
      <c r="H72">
        <v>0</v>
      </c>
      <c r="I72" t="str">
        <f t="shared" si="5"/>
        <v>Poor Sleeper</v>
      </c>
      <c r="J72">
        <f t="shared" si="6"/>
        <v>0</v>
      </c>
      <c r="K72">
        <f t="shared" si="7"/>
        <v>1</v>
      </c>
    </row>
    <row r="73" spans="1:11" x14ac:dyDescent="0.35">
      <c r="A73">
        <v>43.79</v>
      </c>
      <c r="B73">
        <v>5.64</v>
      </c>
      <c r="C73">
        <v>3.9</v>
      </c>
      <c r="D73">
        <v>5.26</v>
      </c>
      <c r="E73">
        <v>45.06</v>
      </c>
      <c r="F73" t="s">
        <v>9</v>
      </c>
      <c r="G73" t="s">
        <v>13</v>
      </c>
      <c r="H73">
        <v>0</v>
      </c>
      <c r="I73" t="str">
        <f t="shared" si="5"/>
        <v>Poor Sleeper</v>
      </c>
      <c r="J73">
        <f t="shared" si="6"/>
        <v>0</v>
      </c>
      <c r="K73">
        <f t="shared" si="7"/>
        <v>1</v>
      </c>
    </row>
    <row r="74" spans="1:11" x14ac:dyDescent="0.35">
      <c r="A74">
        <v>20.260000000000002</v>
      </c>
      <c r="B74">
        <v>3.52</v>
      </c>
      <c r="C74">
        <v>4.0599999999999996</v>
      </c>
      <c r="D74">
        <v>7.46</v>
      </c>
      <c r="E74">
        <v>22.17</v>
      </c>
      <c r="F74" t="s">
        <v>10</v>
      </c>
      <c r="G74" t="s">
        <v>13</v>
      </c>
      <c r="H74">
        <v>0</v>
      </c>
      <c r="I74" t="str">
        <f t="shared" si="5"/>
        <v>Poor Sleeper</v>
      </c>
      <c r="J74">
        <f t="shared" si="6"/>
        <v>0</v>
      </c>
      <c r="K74">
        <f t="shared" si="7"/>
        <v>1</v>
      </c>
    </row>
    <row r="75" spans="1:11" x14ac:dyDescent="0.35">
      <c r="A75">
        <v>20.16</v>
      </c>
      <c r="B75">
        <v>8.8000000000000007</v>
      </c>
      <c r="C75">
        <v>4.1500000000000004</v>
      </c>
      <c r="D75">
        <v>2.98</v>
      </c>
      <c r="E75">
        <v>30.4</v>
      </c>
      <c r="F75" t="s">
        <v>9</v>
      </c>
      <c r="G75" t="s">
        <v>13</v>
      </c>
      <c r="H75">
        <v>0</v>
      </c>
      <c r="I75" t="str">
        <f t="shared" si="5"/>
        <v>Good Sleeper</v>
      </c>
      <c r="J75">
        <f t="shared" si="6"/>
        <v>0</v>
      </c>
      <c r="K75">
        <f t="shared" si="7"/>
        <v>1</v>
      </c>
    </row>
    <row r="76" spans="1:11" x14ac:dyDescent="0.35">
      <c r="A76">
        <v>34.74</v>
      </c>
      <c r="B76">
        <v>7.58</v>
      </c>
      <c r="C76">
        <v>4.25</v>
      </c>
      <c r="D76">
        <v>4.71</v>
      </c>
      <c r="E76">
        <v>17.010000000000002</v>
      </c>
      <c r="F76" t="s">
        <v>8</v>
      </c>
      <c r="G76" t="s">
        <v>13</v>
      </c>
      <c r="H76">
        <v>0</v>
      </c>
      <c r="I76" t="str">
        <f t="shared" si="5"/>
        <v>Good Sleeper</v>
      </c>
      <c r="J76">
        <f t="shared" si="6"/>
        <v>0</v>
      </c>
      <c r="K76">
        <f t="shared" si="7"/>
        <v>1</v>
      </c>
    </row>
    <row r="77" spans="1:11" x14ac:dyDescent="0.35">
      <c r="A77">
        <v>34.21</v>
      </c>
      <c r="B77">
        <v>5.83</v>
      </c>
      <c r="C77">
        <v>4.2699999999999996</v>
      </c>
      <c r="D77">
        <v>9.0299999999999994</v>
      </c>
      <c r="E77">
        <v>36.35</v>
      </c>
      <c r="F77" t="s">
        <v>10</v>
      </c>
      <c r="G77" t="s">
        <v>13</v>
      </c>
      <c r="H77">
        <v>0</v>
      </c>
      <c r="I77" t="str">
        <f t="shared" si="5"/>
        <v>Poor Sleeper</v>
      </c>
      <c r="J77">
        <f t="shared" si="6"/>
        <v>0</v>
      </c>
      <c r="K77">
        <f t="shared" si="7"/>
        <v>1</v>
      </c>
    </row>
    <row r="78" spans="1:11" x14ac:dyDescent="0.35">
      <c r="A78">
        <v>44.47</v>
      </c>
      <c r="B78">
        <v>4.16</v>
      </c>
      <c r="C78">
        <v>4.29</v>
      </c>
      <c r="D78">
        <v>8.34</v>
      </c>
      <c r="E78">
        <v>9.41</v>
      </c>
      <c r="F78" t="s">
        <v>10</v>
      </c>
      <c r="G78" t="s">
        <v>13</v>
      </c>
      <c r="H78">
        <v>0</v>
      </c>
      <c r="I78" t="str">
        <f t="shared" si="5"/>
        <v>Poor Sleeper</v>
      </c>
      <c r="J78">
        <f t="shared" si="6"/>
        <v>0</v>
      </c>
      <c r="K78">
        <f t="shared" si="7"/>
        <v>1</v>
      </c>
    </row>
    <row r="79" spans="1:11" x14ac:dyDescent="0.35">
      <c r="A79">
        <v>44.57</v>
      </c>
      <c r="B79">
        <v>5.98</v>
      </c>
      <c r="C79">
        <v>4.5199999999999996</v>
      </c>
      <c r="D79">
        <v>6.28</v>
      </c>
      <c r="E79">
        <v>41.52</v>
      </c>
      <c r="F79" t="s">
        <v>8</v>
      </c>
      <c r="G79" t="s">
        <v>13</v>
      </c>
      <c r="H79">
        <v>0</v>
      </c>
      <c r="I79" t="str">
        <f t="shared" si="5"/>
        <v>Poor Sleeper</v>
      </c>
      <c r="J79">
        <f t="shared" si="6"/>
        <v>0</v>
      </c>
      <c r="K79">
        <f t="shared" si="7"/>
        <v>1</v>
      </c>
    </row>
    <row r="80" spans="1:11" x14ac:dyDescent="0.35">
      <c r="A80">
        <v>40.26</v>
      </c>
      <c r="B80">
        <v>8.36</v>
      </c>
      <c r="C80">
        <v>4.59</v>
      </c>
      <c r="D80">
        <v>7.18</v>
      </c>
      <c r="E80">
        <v>31.42</v>
      </c>
      <c r="F80" t="s">
        <v>9</v>
      </c>
      <c r="G80" t="s">
        <v>13</v>
      </c>
      <c r="H80">
        <v>0</v>
      </c>
      <c r="I80" t="str">
        <f t="shared" si="5"/>
        <v>Good Sleeper</v>
      </c>
      <c r="J80">
        <f t="shared" si="6"/>
        <v>0</v>
      </c>
      <c r="K80">
        <f t="shared" si="7"/>
        <v>1</v>
      </c>
    </row>
    <row r="81" spans="1:11" x14ac:dyDescent="0.35">
      <c r="A81">
        <v>65.58</v>
      </c>
      <c r="B81">
        <v>5.0599999999999996</v>
      </c>
      <c r="C81">
        <v>4.6399999999999997</v>
      </c>
      <c r="D81">
        <v>4.07</v>
      </c>
      <c r="E81">
        <v>0</v>
      </c>
      <c r="F81" t="s">
        <v>10</v>
      </c>
      <c r="G81" t="s">
        <v>13</v>
      </c>
      <c r="H81">
        <v>0</v>
      </c>
      <c r="I81" t="str">
        <f t="shared" si="5"/>
        <v>Poor Sleeper</v>
      </c>
      <c r="J81">
        <f t="shared" si="6"/>
        <v>1</v>
      </c>
      <c r="K81">
        <f t="shared" si="7"/>
        <v>1</v>
      </c>
    </row>
    <row r="82" spans="1:11" x14ac:dyDescent="0.35">
      <c r="A82">
        <v>43.05</v>
      </c>
      <c r="B82">
        <v>6.41</v>
      </c>
      <c r="C82">
        <v>4.7300000000000004</v>
      </c>
      <c r="D82">
        <v>9.7200000000000006</v>
      </c>
      <c r="E82">
        <v>32.43</v>
      </c>
      <c r="F82" t="s">
        <v>8</v>
      </c>
      <c r="G82" t="s">
        <v>13</v>
      </c>
      <c r="H82">
        <v>0</v>
      </c>
      <c r="I82" t="str">
        <f t="shared" si="5"/>
        <v>Good Sleeper</v>
      </c>
      <c r="J82">
        <f t="shared" si="6"/>
        <v>0</v>
      </c>
      <c r="K82">
        <f t="shared" si="7"/>
        <v>1</v>
      </c>
    </row>
    <row r="83" spans="1:11" x14ac:dyDescent="0.35">
      <c r="A83">
        <v>20.100000000000001</v>
      </c>
      <c r="B83">
        <v>6.41</v>
      </c>
      <c r="C83">
        <v>4.79</v>
      </c>
      <c r="D83">
        <v>10.97</v>
      </c>
      <c r="E83">
        <v>24.25</v>
      </c>
      <c r="F83" t="s">
        <v>8</v>
      </c>
      <c r="G83" t="s">
        <v>13</v>
      </c>
      <c r="H83">
        <v>0</v>
      </c>
      <c r="I83" t="str">
        <f t="shared" si="5"/>
        <v>Good Sleeper</v>
      </c>
      <c r="J83">
        <f t="shared" si="6"/>
        <v>0</v>
      </c>
      <c r="K83">
        <f t="shared" si="7"/>
        <v>1</v>
      </c>
    </row>
    <row r="84" spans="1:11" x14ac:dyDescent="0.35">
      <c r="A84">
        <v>64.05</v>
      </c>
      <c r="B84">
        <v>5.41</v>
      </c>
      <c r="C84">
        <v>4.8499999999999996</v>
      </c>
      <c r="D84">
        <v>1.76</v>
      </c>
      <c r="E84">
        <v>22.41</v>
      </c>
      <c r="F84" t="s">
        <v>10</v>
      </c>
      <c r="G84" t="s">
        <v>13</v>
      </c>
      <c r="H84">
        <v>0</v>
      </c>
      <c r="I84" t="str">
        <f t="shared" si="5"/>
        <v>Poor Sleeper</v>
      </c>
      <c r="J84">
        <f t="shared" si="6"/>
        <v>1</v>
      </c>
      <c r="K84">
        <f t="shared" si="7"/>
        <v>1</v>
      </c>
    </row>
    <row r="85" spans="1:11" x14ac:dyDescent="0.35">
      <c r="A85">
        <v>45.67</v>
      </c>
      <c r="B85">
        <v>8.33</v>
      </c>
      <c r="C85">
        <v>5.49</v>
      </c>
      <c r="D85">
        <v>7.71</v>
      </c>
      <c r="E85">
        <v>7.38</v>
      </c>
      <c r="F85" t="s">
        <v>8</v>
      </c>
      <c r="G85" t="s">
        <v>13</v>
      </c>
      <c r="H85">
        <v>0</v>
      </c>
      <c r="I85" t="str">
        <f t="shared" si="5"/>
        <v>Good Sleeper</v>
      </c>
      <c r="J85">
        <f t="shared" si="6"/>
        <v>0</v>
      </c>
      <c r="K85">
        <f t="shared" si="7"/>
        <v>1</v>
      </c>
    </row>
    <row r="86" spans="1:11" x14ac:dyDescent="0.35">
      <c r="A86">
        <v>11.8</v>
      </c>
      <c r="B86">
        <v>9.2899999999999991</v>
      </c>
      <c r="C86">
        <v>7.44</v>
      </c>
      <c r="D86">
        <v>8.74</v>
      </c>
      <c r="E86">
        <v>1.77</v>
      </c>
      <c r="F86" t="s">
        <v>10</v>
      </c>
      <c r="G86" t="s">
        <v>13</v>
      </c>
      <c r="H86">
        <v>0</v>
      </c>
      <c r="I86" t="str">
        <f t="shared" si="5"/>
        <v>Good Sleeper</v>
      </c>
      <c r="J86">
        <f t="shared" si="6"/>
        <v>0</v>
      </c>
      <c r="K86">
        <f t="shared" si="7"/>
        <v>1</v>
      </c>
    </row>
    <row r="87" spans="1:11" x14ac:dyDescent="0.35">
      <c r="A87">
        <v>40.08</v>
      </c>
      <c r="B87">
        <v>6.6</v>
      </c>
      <c r="C87">
        <v>0</v>
      </c>
      <c r="D87">
        <v>6.28</v>
      </c>
      <c r="E87">
        <v>12.6</v>
      </c>
      <c r="F87" t="s">
        <v>8</v>
      </c>
      <c r="G87" t="s">
        <v>12</v>
      </c>
      <c r="H87">
        <v>0</v>
      </c>
      <c r="I87" t="str">
        <f t="shared" si="5"/>
        <v>Good Sleeper</v>
      </c>
      <c r="J87">
        <f t="shared" si="6"/>
        <v>0</v>
      </c>
      <c r="K87">
        <f t="shared" si="7"/>
        <v>0</v>
      </c>
    </row>
    <row r="88" spans="1:11" x14ac:dyDescent="0.35">
      <c r="A88">
        <v>19.899999999999999</v>
      </c>
      <c r="B88">
        <v>10.51</v>
      </c>
      <c r="C88">
        <v>0</v>
      </c>
      <c r="D88">
        <v>13.74</v>
      </c>
      <c r="E88">
        <v>35.15</v>
      </c>
      <c r="F88" t="s">
        <v>9</v>
      </c>
      <c r="G88" t="s">
        <v>12</v>
      </c>
      <c r="H88">
        <v>0</v>
      </c>
      <c r="I88" t="str">
        <f t="shared" si="5"/>
        <v>Good Sleeper</v>
      </c>
      <c r="J88">
        <f t="shared" si="6"/>
        <v>0</v>
      </c>
      <c r="K88">
        <f t="shared" si="7"/>
        <v>0</v>
      </c>
    </row>
    <row r="89" spans="1:11" x14ac:dyDescent="0.35">
      <c r="A89">
        <v>52.46</v>
      </c>
      <c r="B89">
        <v>5.0999999999999996</v>
      </c>
      <c r="C89">
        <v>0</v>
      </c>
      <c r="D89">
        <v>4.1500000000000004</v>
      </c>
      <c r="E89">
        <v>43.53</v>
      </c>
      <c r="F89" t="s">
        <v>10</v>
      </c>
      <c r="G89" t="s">
        <v>12</v>
      </c>
      <c r="H89">
        <v>0</v>
      </c>
      <c r="I89" t="str">
        <f t="shared" si="5"/>
        <v>Poor Sleeper</v>
      </c>
      <c r="J89">
        <f t="shared" si="6"/>
        <v>0</v>
      </c>
      <c r="K89">
        <f t="shared" si="7"/>
        <v>0</v>
      </c>
    </row>
    <row r="90" spans="1:11" x14ac:dyDescent="0.35">
      <c r="A90">
        <v>90.44</v>
      </c>
      <c r="B90">
        <v>7.11</v>
      </c>
      <c r="C90">
        <v>0.81</v>
      </c>
      <c r="D90">
        <v>10.16</v>
      </c>
      <c r="E90">
        <v>0</v>
      </c>
      <c r="F90" t="s">
        <v>10</v>
      </c>
      <c r="G90" t="s">
        <v>12</v>
      </c>
      <c r="H90">
        <v>0</v>
      </c>
      <c r="I90" t="str">
        <f t="shared" si="5"/>
        <v>Good Sleeper</v>
      </c>
      <c r="J90">
        <f t="shared" si="6"/>
        <v>1</v>
      </c>
      <c r="K90">
        <f t="shared" si="7"/>
        <v>1</v>
      </c>
    </row>
    <row r="91" spans="1:11" x14ac:dyDescent="0.35">
      <c r="A91">
        <v>16.97</v>
      </c>
      <c r="B91">
        <v>7.93</v>
      </c>
      <c r="C91">
        <v>1.1599999999999999</v>
      </c>
      <c r="D91">
        <v>10.17</v>
      </c>
      <c r="E91">
        <v>23.39</v>
      </c>
      <c r="F91" t="s">
        <v>10</v>
      </c>
      <c r="G91" t="s">
        <v>12</v>
      </c>
      <c r="H91">
        <v>0</v>
      </c>
      <c r="I91" t="str">
        <f t="shared" si="5"/>
        <v>Good Sleeper</v>
      </c>
      <c r="J91">
        <f t="shared" si="6"/>
        <v>0</v>
      </c>
      <c r="K91">
        <f t="shared" si="7"/>
        <v>1</v>
      </c>
    </row>
    <row r="92" spans="1:11" x14ac:dyDescent="0.35">
      <c r="A92">
        <v>45.72</v>
      </c>
      <c r="B92">
        <v>7.37</v>
      </c>
      <c r="C92">
        <v>1.17</v>
      </c>
      <c r="D92">
        <v>3.34</v>
      </c>
      <c r="E92">
        <v>27.55</v>
      </c>
      <c r="F92" t="s">
        <v>8</v>
      </c>
      <c r="G92" t="s">
        <v>12</v>
      </c>
      <c r="H92">
        <v>0</v>
      </c>
      <c r="I92" t="str">
        <f t="shared" si="5"/>
        <v>Good Sleeper</v>
      </c>
      <c r="J92">
        <f t="shared" si="6"/>
        <v>0</v>
      </c>
      <c r="K92">
        <f t="shared" si="7"/>
        <v>1</v>
      </c>
    </row>
    <row r="93" spans="1:11" x14ac:dyDescent="0.35">
      <c r="A93">
        <v>39.159999999999997</v>
      </c>
      <c r="B93">
        <v>6.27</v>
      </c>
      <c r="C93">
        <v>1.27</v>
      </c>
      <c r="D93">
        <v>6.12</v>
      </c>
      <c r="E93">
        <v>46.35</v>
      </c>
      <c r="F93" t="s">
        <v>10</v>
      </c>
      <c r="G93" t="s">
        <v>12</v>
      </c>
      <c r="H93">
        <v>0</v>
      </c>
      <c r="I93" t="str">
        <f t="shared" si="5"/>
        <v>Good Sleeper</v>
      </c>
      <c r="J93">
        <f t="shared" si="6"/>
        <v>0</v>
      </c>
      <c r="K93">
        <f t="shared" si="7"/>
        <v>1</v>
      </c>
    </row>
    <row r="94" spans="1:11" x14ac:dyDescent="0.35">
      <c r="A94">
        <v>26.98</v>
      </c>
      <c r="B94">
        <v>4.63</v>
      </c>
      <c r="C94">
        <v>1.41</v>
      </c>
      <c r="D94">
        <v>6.03</v>
      </c>
      <c r="E94">
        <v>2.61</v>
      </c>
      <c r="F94" t="s">
        <v>10</v>
      </c>
      <c r="G94" t="s">
        <v>12</v>
      </c>
      <c r="H94">
        <v>0</v>
      </c>
      <c r="I94" t="str">
        <f t="shared" si="5"/>
        <v>Poor Sleeper</v>
      </c>
      <c r="J94">
        <f t="shared" si="6"/>
        <v>0</v>
      </c>
      <c r="K94">
        <f t="shared" si="7"/>
        <v>1</v>
      </c>
    </row>
    <row r="95" spans="1:11" x14ac:dyDescent="0.35">
      <c r="A95">
        <v>5</v>
      </c>
      <c r="B95">
        <v>2.94</v>
      </c>
      <c r="C95">
        <v>1.52</v>
      </c>
      <c r="D95">
        <v>5.31</v>
      </c>
      <c r="E95">
        <v>38.880000000000003</v>
      </c>
      <c r="F95" t="s">
        <v>10</v>
      </c>
      <c r="G95" t="s">
        <v>12</v>
      </c>
      <c r="H95">
        <v>0</v>
      </c>
      <c r="I95" t="str">
        <f t="shared" si="5"/>
        <v>Poor Sleeper</v>
      </c>
      <c r="J95">
        <f t="shared" si="6"/>
        <v>0</v>
      </c>
      <c r="K95">
        <f t="shared" si="7"/>
        <v>1</v>
      </c>
    </row>
    <row r="96" spans="1:11" x14ac:dyDescent="0.35">
      <c r="A96">
        <v>27.71</v>
      </c>
      <c r="B96">
        <v>4.03</v>
      </c>
      <c r="C96">
        <v>1.56</v>
      </c>
      <c r="D96">
        <v>7.32</v>
      </c>
      <c r="E96">
        <v>32.369999999999997</v>
      </c>
      <c r="F96" t="s">
        <v>9</v>
      </c>
      <c r="G96" t="s">
        <v>12</v>
      </c>
      <c r="H96">
        <v>0</v>
      </c>
      <c r="I96" t="str">
        <f t="shared" si="5"/>
        <v>Poor Sleeper</v>
      </c>
      <c r="J96">
        <f t="shared" si="6"/>
        <v>0</v>
      </c>
      <c r="K96">
        <f t="shared" si="7"/>
        <v>1</v>
      </c>
    </row>
    <row r="97" spans="1:11" x14ac:dyDescent="0.35">
      <c r="A97">
        <v>51.03</v>
      </c>
      <c r="B97">
        <v>4.87</v>
      </c>
      <c r="C97">
        <v>1.74</v>
      </c>
      <c r="D97">
        <v>6.2</v>
      </c>
      <c r="E97">
        <v>34.32</v>
      </c>
      <c r="F97" t="s">
        <v>10</v>
      </c>
      <c r="G97" t="s">
        <v>12</v>
      </c>
      <c r="H97">
        <v>0</v>
      </c>
      <c r="I97" t="str">
        <f t="shared" si="5"/>
        <v>Poor Sleeper</v>
      </c>
      <c r="J97">
        <f t="shared" si="6"/>
        <v>0</v>
      </c>
      <c r="K97">
        <f t="shared" si="7"/>
        <v>1</v>
      </c>
    </row>
    <row r="98" spans="1:11" x14ac:dyDescent="0.35">
      <c r="A98">
        <v>59.8</v>
      </c>
      <c r="B98">
        <v>9.9</v>
      </c>
      <c r="C98">
        <v>1.88</v>
      </c>
      <c r="D98">
        <v>10.69</v>
      </c>
      <c r="E98">
        <v>37.9</v>
      </c>
      <c r="F98" t="s">
        <v>8</v>
      </c>
      <c r="G98" t="s">
        <v>12</v>
      </c>
      <c r="H98">
        <v>0</v>
      </c>
      <c r="I98" t="str">
        <f t="shared" si="5"/>
        <v>Good Sleeper</v>
      </c>
      <c r="J98">
        <f t="shared" ref="J98:J129" si="8">IF(AND(A98&gt;50,E98&lt;30),1,0)</f>
        <v>0</v>
      </c>
      <c r="K98">
        <f t="shared" ref="K98:K129" si="9">IF(C98&gt;0,1,0)</f>
        <v>1</v>
      </c>
    </row>
    <row r="99" spans="1:11" x14ac:dyDescent="0.35">
      <c r="A99">
        <v>37.99</v>
      </c>
      <c r="B99">
        <v>2.0099999999999998</v>
      </c>
      <c r="C99">
        <v>2.4500000000000002</v>
      </c>
      <c r="D99">
        <v>8.93</v>
      </c>
      <c r="E99">
        <v>28.24</v>
      </c>
      <c r="F99" t="s">
        <v>9</v>
      </c>
      <c r="G99" t="s">
        <v>12</v>
      </c>
      <c r="H99">
        <v>0</v>
      </c>
      <c r="I99" t="str">
        <f t="shared" si="5"/>
        <v>Poor Sleeper</v>
      </c>
      <c r="J99">
        <f t="shared" si="8"/>
        <v>0</v>
      </c>
      <c r="K99">
        <f t="shared" si="9"/>
        <v>1</v>
      </c>
    </row>
    <row r="100" spans="1:11" x14ac:dyDescent="0.35">
      <c r="A100">
        <v>69.52</v>
      </c>
      <c r="B100">
        <v>4.09</v>
      </c>
      <c r="C100">
        <v>2.48</v>
      </c>
      <c r="D100">
        <v>1</v>
      </c>
      <c r="E100">
        <v>23.61</v>
      </c>
      <c r="F100" t="s">
        <v>8</v>
      </c>
      <c r="G100" t="s">
        <v>12</v>
      </c>
      <c r="H100">
        <v>0</v>
      </c>
      <c r="I100" t="str">
        <f t="shared" si="5"/>
        <v>Poor Sleeper</v>
      </c>
      <c r="J100">
        <f t="shared" si="8"/>
        <v>1</v>
      </c>
      <c r="K100">
        <f t="shared" si="9"/>
        <v>1</v>
      </c>
    </row>
    <row r="101" spans="1:11" x14ac:dyDescent="0.35">
      <c r="A101">
        <v>19.809999999999999</v>
      </c>
      <c r="B101">
        <v>4.1100000000000003</v>
      </c>
      <c r="C101">
        <v>2.7</v>
      </c>
      <c r="D101">
        <v>9.6199999999999992</v>
      </c>
      <c r="E101">
        <v>38.36</v>
      </c>
      <c r="F101" t="s">
        <v>9</v>
      </c>
      <c r="G101" t="s">
        <v>12</v>
      </c>
      <c r="H101">
        <v>0</v>
      </c>
      <c r="I101" t="str">
        <f t="shared" si="5"/>
        <v>Poor Sleeper</v>
      </c>
      <c r="J101">
        <f t="shared" si="8"/>
        <v>0</v>
      </c>
      <c r="K101">
        <f t="shared" si="9"/>
        <v>1</v>
      </c>
    </row>
    <row r="102" spans="1:11" x14ac:dyDescent="0.35">
      <c r="A102">
        <v>18.03</v>
      </c>
      <c r="B102">
        <v>6.53</v>
      </c>
      <c r="C102">
        <v>4.0199999999999996</v>
      </c>
      <c r="D102">
        <v>7.77</v>
      </c>
      <c r="E102">
        <v>27.95</v>
      </c>
      <c r="F102" t="s">
        <v>10</v>
      </c>
      <c r="G102" t="s">
        <v>12</v>
      </c>
      <c r="H102">
        <v>0</v>
      </c>
      <c r="I102" t="str">
        <f t="shared" si="5"/>
        <v>Good Sleeper</v>
      </c>
      <c r="J102">
        <f t="shared" si="8"/>
        <v>0</v>
      </c>
      <c r="K102">
        <f t="shared" si="9"/>
        <v>1</v>
      </c>
    </row>
    <row r="103" spans="1:11" x14ac:dyDescent="0.35">
      <c r="A103">
        <v>17.04</v>
      </c>
      <c r="B103">
        <v>5.34</v>
      </c>
      <c r="C103">
        <v>4.24</v>
      </c>
      <c r="D103">
        <v>6.97</v>
      </c>
      <c r="E103">
        <v>2.88</v>
      </c>
      <c r="F103" t="s">
        <v>8</v>
      </c>
      <c r="G103" t="s">
        <v>12</v>
      </c>
      <c r="H103">
        <v>0</v>
      </c>
      <c r="I103" t="str">
        <f t="shared" si="5"/>
        <v>Poor Sleeper</v>
      </c>
      <c r="J103">
        <f t="shared" si="8"/>
        <v>0</v>
      </c>
      <c r="K103">
        <f t="shared" si="9"/>
        <v>1</v>
      </c>
    </row>
    <row r="104" spans="1:11" x14ac:dyDescent="0.35">
      <c r="A104">
        <v>29.1</v>
      </c>
      <c r="B104">
        <v>6.66</v>
      </c>
      <c r="C104">
        <v>5.31</v>
      </c>
      <c r="D104">
        <v>5.19</v>
      </c>
      <c r="E104">
        <v>45.51</v>
      </c>
      <c r="F104" t="s">
        <v>8</v>
      </c>
      <c r="G104" t="s">
        <v>12</v>
      </c>
      <c r="H104">
        <v>0</v>
      </c>
      <c r="I104" t="str">
        <f t="shared" si="5"/>
        <v>Good Sleeper</v>
      </c>
      <c r="J104">
        <f t="shared" si="8"/>
        <v>0</v>
      </c>
      <c r="K104">
        <f t="shared" si="9"/>
        <v>1</v>
      </c>
    </row>
    <row r="105" spans="1:11" x14ac:dyDescent="0.35">
      <c r="A105">
        <v>5</v>
      </c>
      <c r="B105">
        <v>2.63</v>
      </c>
      <c r="C105">
        <v>5.58</v>
      </c>
      <c r="D105">
        <v>7.15</v>
      </c>
      <c r="E105">
        <v>7.03</v>
      </c>
      <c r="F105" t="s">
        <v>8</v>
      </c>
      <c r="G105" t="s">
        <v>12</v>
      </c>
      <c r="H105">
        <v>0</v>
      </c>
      <c r="I105" t="str">
        <f t="shared" si="5"/>
        <v>Poor Sleeper</v>
      </c>
      <c r="J105">
        <f t="shared" si="8"/>
        <v>0</v>
      </c>
      <c r="K105">
        <f t="shared" si="9"/>
        <v>1</v>
      </c>
    </row>
    <row r="106" spans="1:11" x14ac:dyDescent="0.35">
      <c r="A106">
        <v>8.3800000000000008</v>
      </c>
      <c r="B106">
        <v>4.6399999999999997</v>
      </c>
      <c r="C106">
        <v>9.5500000000000007</v>
      </c>
      <c r="D106">
        <v>12.04</v>
      </c>
      <c r="E106">
        <v>38.090000000000003</v>
      </c>
      <c r="F106" t="s">
        <v>10</v>
      </c>
      <c r="G106" t="s">
        <v>12</v>
      </c>
      <c r="H106">
        <v>0</v>
      </c>
      <c r="I106" t="str">
        <f t="shared" si="5"/>
        <v>Poor Sleeper</v>
      </c>
      <c r="J106">
        <f t="shared" si="8"/>
        <v>0</v>
      </c>
      <c r="K106">
        <f t="shared" si="9"/>
        <v>1</v>
      </c>
    </row>
    <row r="107" spans="1:11" x14ac:dyDescent="0.35">
      <c r="A107">
        <v>42.5</v>
      </c>
      <c r="B107">
        <v>2.34</v>
      </c>
      <c r="C107">
        <v>0</v>
      </c>
      <c r="D107">
        <v>9.67</v>
      </c>
      <c r="E107">
        <v>31.94</v>
      </c>
      <c r="F107" t="s">
        <v>8</v>
      </c>
      <c r="G107" t="s">
        <v>11</v>
      </c>
      <c r="H107">
        <v>1</v>
      </c>
      <c r="I107" t="str">
        <f t="shared" si="5"/>
        <v>Poor Sleeper</v>
      </c>
      <c r="J107">
        <f t="shared" si="8"/>
        <v>0</v>
      </c>
      <c r="K107">
        <f t="shared" si="9"/>
        <v>0</v>
      </c>
    </row>
    <row r="108" spans="1:11" x14ac:dyDescent="0.35">
      <c r="A108">
        <v>55.22</v>
      </c>
      <c r="B108">
        <v>4.3099999999999996</v>
      </c>
      <c r="C108">
        <v>0</v>
      </c>
      <c r="D108">
        <v>3.75</v>
      </c>
      <c r="E108">
        <v>31.16</v>
      </c>
      <c r="F108" t="s">
        <v>8</v>
      </c>
      <c r="G108" t="s">
        <v>11</v>
      </c>
      <c r="H108">
        <v>1</v>
      </c>
      <c r="I108" t="str">
        <f t="shared" si="5"/>
        <v>Poor Sleeper</v>
      </c>
      <c r="J108">
        <f t="shared" si="8"/>
        <v>0</v>
      </c>
      <c r="K108">
        <f t="shared" si="9"/>
        <v>0</v>
      </c>
    </row>
    <row r="109" spans="1:11" x14ac:dyDescent="0.35">
      <c r="A109">
        <v>55.08</v>
      </c>
      <c r="B109">
        <v>4.55</v>
      </c>
      <c r="C109">
        <v>0</v>
      </c>
      <c r="D109">
        <v>7.18</v>
      </c>
      <c r="E109">
        <v>7.29</v>
      </c>
      <c r="F109" t="s">
        <v>10</v>
      </c>
      <c r="G109" t="s">
        <v>11</v>
      </c>
      <c r="H109">
        <v>1</v>
      </c>
      <c r="I109" t="str">
        <f t="shared" si="5"/>
        <v>Poor Sleeper</v>
      </c>
      <c r="J109">
        <f t="shared" si="8"/>
        <v>1</v>
      </c>
      <c r="K109">
        <f t="shared" si="9"/>
        <v>0</v>
      </c>
    </row>
    <row r="110" spans="1:11" x14ac:dyDescent="0.35">
      <c r="A110">
        <v>40.21</v>
      </c>
      <c r="B110">
        <v>6.61</v>
      </c>
      <c r="C110">
        <v>0.52</v>
      </c>
      <c r="D110">
        <v>6.75</v>
      </c>
      <c r="E110">
        <v>21.27</v>
      </c>
      <c r="F110" t="s">
        <v>9</v>
      </c>
      <c r="G110" t="s">
        <v>11</v>
      </c>
      <c r="H110">
        <v>1</v>
      </c>
      <c r="I110" t="str">
        <f t="shared" si="5"/>
        <v>Good Sleeper</v>
      </c>
      <c r="J110">
        <f t="shared" si="8"/>
        <v>0</v>
      </c>
      <c r="K110">
        <f t="shared" si="9"/>
        <v>1</v>
      </c>
    </row>
    <row r="111" spans="1:11" x14ac:dyDescent="0.35">
      <c r="A111">
        <v>91.02</v>
      </c>
      <c r="B111">
        <v>7.7</v>
      </c>
      <c r="C111">
        <v>0.73</v>
      </c>
      <c r="D111">
        <v>1.69</v>
      </c>
      <c r="E111">
        <v>19.37</v>
      </c>
      <c r="F111" t="s">
        <v>10</v>
      </c>
      <c r="G111" t="s">
        <v>11</v>
      </c>
      <c r="H111">
        <v>1</v>
      </c>
      <c r="I111" t="str">
        <f t="shared" si="5"/>
        <v>Good Sleeper</v>
      </c>
      <c r="J111">
        <f t="shared" si="8"/>
        <v>1</v>
      </c>
      <c r="K111">
        <f t="shared" si="9"/>
        <v>1</v>
      </c>
    </row>
    <row r="112" spans="1:11" x14ac:dyDescent="0.35">
      <c r="A112">
        <v>51.91</v>
      </c>
      <c r="B112">
        <v>5.91</v>
      </c>
      <c r="C112">
        <v>0.88</v>
      </c>
      <c r="D112">
        <v>7.81</v>
      </c>
      <c r="E112">
        <v>30.74</v>
      </c>
      <c r="F112" t="s">
        <v>10</v>
      </c>
      <c r="G112" t="s">
        <v>11</v>
      </c>
      <c r="H112">
        <v>1</v>
      </c>
      <c r="I112" t="str">
        <f t="shared" si="5"/>
        <v>Poor Sleeper</v>
      </c>
      <c r="J112">
        <f t="shared" si="8"/>
        <v>0</v>
      </c>
      <c r="K112">
        <f t="shared" si="9"/>
        <v>1</v>
      </c>
    </row>
    <row r="113" spans="1:11" x14ac:dyDescent="0.35">
      <c r="A113">
        <v>46.98</v>
      </c>
      <c r="B113">
        <v>7.18</v>
      </c>
      <c r="C113">
        <v>1.93</v>
      </c>
      <c r="D113">
        <v>9.9499999999999993</v>
      </c>
      <c r="E113">
        <v>0</v>
      </c>
      <c r="F113" t="s">
        <v>8</v>
      </c>
      <c r="G113" t="s">
        <v>11</v>
      </c>
      <c r="H113">
        <v>1</v>
      </c>
      <c r="I113" t="str">
        <f t="shared" si="5"/>
        <v>Good Sleeper</v>
      </c>
      <c r="J113">
        <f t="shared" si="8"/>
        <v>0</v>
      </c>
      <c r="K113">
        <f t="shared" si="9"/>
        <v>1</v>
      </c>
    </row>
    <row r="114" spans="1:11" x14ac:dyDescent="0.35">
      <c r="A114">
        <v>71.87</v>
      </c>
      <c r="B114">
        <v>9.2799999999999994</v>
      </c>
      <c r="C114">
        <v>2.06</v>
      </c>
      <c r="D114">
        <v>8.5</v>
      </c>
      <c r="E114">
        <v>34.44</v>
      </c>
      <c r="F114" t="s">
        <v>10</v>
      </c>
      <c r="G114" t="s">
        <v>11</v>
      </c>
      <c r="H114">
        <v>1</v>
      </c>
      <c r="I114" t="str">
        <f t="shared" si="5"/>
        <v>Good Sleeper</v>
      </c>
      <c r="J114">
        <f t="shared" si="8"/>
        <v>0</v>
      </c>
      <c r="K114">
        <f t="shared" si="9"/>
        <v>1</v>
      </c>
    </row>
    <row r="115" spans="1:11" x14ac:dyDescent="0.35">
      <c r="A115">
        <v>50.13</v>
      </c>
      <c r="B115">
        <v>6.16</v>
      </c>
      <c r="C115">
        <v>2.0699999999999998</v>
      </c>
      <c r="D115">
        <v>6.94</v>
      </c>
      <c r="E115">
        <v>9.83</v>
      </c>
      <c r="F115" t="s">
        <v>9</v>
      </c>
      <c r="G115" t="s">
        <v>11</v>
      </c>
      <c r="H115">
        <v>1</v>
      </c>
      <c r="I115" t="str">
        <f t="shared" si="5"/>
        <v>Good Sleeper</v>
      </c>
      <c r="J115">
        <f t="shared" si="8"/>
        <v>1</v>
      </c>
      <c r="K115">
        <f t="shared" si="9"/>
        <v>1</v>
      </c>
    </row>
    <row r="116" spans="1:11" x14ac:dyDescent="0.35">
      <c r="A116">
        <v>62.44</v>
      </c>
      <c r="B116">
        <v>7.93</v>
      </c>
      <c r="C116">
        <v>2.13</v>
      </c>
      <c r="D116">
        <v>7.24</v>
      </c>
      <c r="E116">
        <v>26.13</v>
      </c>
      <c r="F116" t="s">
        <v>9</v>
      </c>
      <c r="G116" t="s">
        <v>11</v>
      </c>
      <c r="H116">
        <v>1</v>
      </c>
      <c r="I116" t="str">
        <f t="shared" si="5"/>
        <v>Good Sleeper</v>
      </c>
      <c r="J116">
        <f t="shared" si="8"/>
        <v>1</v>
      </c>
      <c r="K116">
        <f t="shared" si="9"/>
        <v>1</v>
      </c>
    </row>
    <row r="117" spans="1:11" x14ac:dyDescent="0.35">
      <c r="A117">
        <v>59.69</v>
      </c>
      <c r="B117">
        <v>7.01</v>
      </c>
      <c r="C117">
        <v>2.29</v>
      </c>
      <c r="D117">
        <v>10.86</v>
      </c>
      <c r="E117">
        <v>27.79</v>
      </c>
      <c r="F117" t="s">
        <v>8</v>
      </c>
      <c r="G117" t="s">
        <v>11</v>
      </c>
      <c r="H117">
        <v>1</v>
      </c>
      <c r="I117" t="str">
        <f t="shared" si="5"/>
        <v>Good Sleeper</v>
      </c>
      <c r="J117">
        <f t="shared" si="8"/>
        <v>1</v>
      </c>
      <c r="K117">
        <f t="shared" si="9"/>
        <v>1</v>
      </c>
    </row>
    <row r="118" spans="1:11" x14ac:dyDescent="0.35">
      <c r="A118">
        <v>5</v>
      </c>
      <c r="B118">
        <v>4.62</v>
      </c>
      <c r="C118">
        <v>2.3199999999999998</v>
      </c>
      <c r="D118">
        <v>8.6</v>
      </c>
      <c r="E118">
        <v>26.39</v>
      </c>
      <c r="F118" t="s">
        <v>9</v>
      </c>
      <c r="G118" t="s">
        <v>11</v>
      </c>
      <c r="H118">
        <v>1</v>
      </c>
      <c r="I118" t="str">
        <f t="shared" si="5"/>
        <v>Poor Sleeper</v>
      </c>
      <c r="J118">
        <f t="shared" si="8"/>
        <v>0</v>
      </c>
      <c r="K118">
        <f t="shared" si="9"/>
        <v>1</v>
      </c>
    </row>
    <row r="119" spans="1:11" x14ac:dyDescent="0.35">
      <c r="A119">
        <v>49.83</v>
      </c>
      <c r="B119">
        <v>1.88</v>
      </c>
      <c r="C119">
        <v>2.33</v>
      </c>
      <c r="D119">
        <v>10.54</v>
      </c>
      <c r="E119">
        <v>30.65</v>
      </c>
      <c r="F119" t="s">
        <v>10</v>
      </c>
      <c r="G119" t="s">
        <v>11</v>
      </c>
      <c r="H119">
        <v>1</v>
      </c>
      <c r="I119" t="str">
        <f t="shared" si="5"/>
        <v>Poor Sleeper</v>
      </c>
      <c r="J119">
        <f t="shared" si="8"/>
        <v>0</v>
      </c>
      <c r="K119">
        <f t="shared" si="9"/>
        <v>1</v>
      </c>
    </row>
    <row r="120" spans="1:11" x14ac:dyDescent="0.35">
      <c r="A120">
        <v>53.09</v>
      </c>
      <c r="B120">
        <v>5.21</v>
      </c>
      <c r="C120">
        <v>2.4</v>
      </c>
      <c r="D120">
        <v>11.16</v>
      </c>
      <c r="E120">
        <v>26.25</v>
      </c>
      <c r="F120" t="s">
        <v>10</v>
      </c>
      <c r="G120" t="s">
        <v>11</v>
      </c>
      <c r="H120">
        <v>1</v>
      </c>
      <c r="I120" t="str">
        <f t="shared" si="5"/>
        <v>Poor Sleeper</v>
      </c>
      <c r="J120">
        <f t="shared" si="8"/>
        <v>1</v>
      </c>
      <c r="K120">
        <f t="shared" si="9"/>
        <v>1</v>
      </c>
    </row>
    <row r="121" spans="1:11" x14ac:dyDescent="0.35">
      <c r="A121">
        <v>75.48</v>
      </c>
      <c r="B121">
        <v>5.28</v>
      </c>
      <c r="C121">
        <v>2.4700000000000002</v>
      </c>
      <c r="D121">
        <v>6.05</v>
      </c>
      <c r="E121">
        <v>23.88</v>
      </c>
      <c r="F121" t="s">
        <v>9</v>
      </c>
      <c r="G121" t="s">
        <v>11</v>
      </c>
      <c r="H121">
        <v>1</v>
      </c>
      <c r="I121" t="str">
        <f t="shared" si="5"/>
        <v>Poor Sleeper</v>
      </c>
      <c r="J121">
        <f t="shared" si="8"/>
        <v>1</v>
      </c>
      <c r="K121">
        <f t="shared" si="9"/>
        <v>1</v>
      </c>
    </row>
    <row r="122" spans="1:11" x14ac:dyDescent="0.35">
      <c r="A122">
        <v>21.81</v>
      </c>
      <c r="B122">
        <v>1.79</v>
      </c>
      <c r="C122">
        <v>3.15</v>
      </c>
      <c r="D122">
        <v>4.2699999999999996</v>
      </c>
      <c r="E122">
        <v>27.5</v>
      </c>
      <c r="F122" t="s">
        <v>10</v>
      </c>
      <c r="G122" t="s">
        <v>11</v>
      </c>
      <c r="H122">
        <v>1</v>
      </c>
      <c r="I122" t="str">
        <f t="shared" si="5"/>
        <v>Poor Sleeper</v>
      </c>
      <c r="J122">
        <f t="shared" si="8"/>
        <v>0</v>
      </c>
      <c r="K122">
        <f t="shared" si="9"/>
        <v>1</v>
      </c>
    </row>
    <row r="123" spans="1:11" x14ac:dyDescent="0.35">
      <c r="A123">
        <v>47.42</v>
      </c>
      <c r="B123">
        <v>4.63</v>
      </c>
      <c r="C123">
        <v>4.0199999999999996</v>
      </c>
      <c r="D123">
        <v>9.49</v>
      </c>
      <c r="E123">
        <v>0</v>
      </c>
      <c r="F123" t="s">
        <v>10</v>
      </c>
      <c r="G123" t="s">
        <v>11</v>
      </c>
      <c r="H123">
        <v>1</v>
      </c>
      <c r="I123" t="str">
        <f t="shared" si="5"/>
        <v>Poor Sleeper</v>
      </c>
      <c r="J123">
        <f t="shared" si="8"/>
        <v>0</v>
      </c>
      <c r="K123">
        <f t="shared" si="9"/>
        <v>1</v>
      </c>
    </row>
    <row r="124" spans="1:11" x14ac:dyDescent="0.35">
      <c r="A124">
        <v>70.400000000000006</v>
      </c>
      <c r="B124">
        <v>6.34</v>
      </c>
      <c r="C124">
        <v>4.0599999999999996</v>
      </c>
      <c r="D124">
        <v>5.68</v>
      </c>
      <c r="E124">
        <v>49.13</v>
      </c>
      <c r="F124" t="s">
        <v>10</v>
      </c>
      <c r="G124" t="s">
        <v>11</v>
      </c>
      <c r="H124">
        <v>1</v>
      </c>
      <c r="I124" t="str">
        <f t="shared" si="5"/>
        <v>Good Sleeper</v>
      </c>
      <c r="J124">
        <f t="shared" si="8"/>
        <v>0</v>
      </c>
      <c r="K124">
        <f t="shared" si="9"/>
        <v>1</v>
      </c>
    </row>
    <row r="125" spans="1:11" x14ac:dyDescent="0.35">
      <c r="A125">
        <v>48.12</v>
      </c>
      <c r="B125">
        <v>3.65</v>
      </c>
      <c r="C125">
        <v>5.0599999999999996</v>
      </c>
      <c r="D125">
        <v>3.27</v>
      </c>
      <c r="E125">
        <v>30.43</v>
      </c>
      <c r="F125" t="s">
        <v>8</v>
      </c>
      <c r="G125" t="s">
        <v>11</v>
      </c>
      <c r="H125">
        <v>1</v>
      </c>
      <c r="I125" t="str">
        <f t="shared" si="5"/>
        <v>Poor Sleeper</v>
      </c>
      <c r="J125">
        <f t="shared" si="8"/>
        <v>0</v>
      </c>
      <c r="K125">
        <f t="shared" si="9"/>
        <v>1</v>
      </c>
    </row>
    <row r="126" spans="1:11" x14ac:dyDescent="0.35">
      <c r="A126">
        <v>28.67</v>
      </c>
      <c r="B126">
        <v>3.26</v>
      </c>
      <c r="C126">
        <v>5.61</v>
      </c>
      <c r="D126">
        <v>4.0599999999999996</v>
      </c>
      <c r="E126">
        <v>35.67</v>
      </c>
      <c r="F126" t="s">
        <v>8</v>
      </c>
      <c r="G126" t="s">
        <v>11</v>
      </c>
      <c r="H126">
        <v>1</v>
      </c>
      <c r="I126" t="str">
        <f t="shared" si="5"/>
        <v>Poor Sleeper</v>
      </c>
      <c r="J126">
        <f t="shared" si="8"/>
        <v>0</v>
      </c>
      <c r="K126">
        <f t="shared" si="9"/>
        <v>1</v>
      </c>
    </row>
    <row r="127" spans="1:11" x14ac:dyDescent="0.35">
      <c r="A127">
        <v>82.53</v>
      </c>
      <c r="B127">
        <v>6.07</v>
      </c>
      <c r="C127">
        <v>7.59</v>
      </c>
      <c r="D127">
        <v>8.08</v>
      </c>
      <c r="E127">
        <v>34.049999999999997</v>
      </c>
      <c r="F127" t="s">
        <v>10</v>
      </c>
      <c r="G127" t="s">
        <v>11</v>
      </c>
      <c r="H127">
        <v>1</v>
      </c>
      <c r="I127" t="str">
        <f t="shared" si="5"/>
        <v>Good Sleeper</v>
      </c>
      <c r="J127">
        <f t="shared" si="8"/>
        <v>0</v>
      </c>
      <c r="K127">
        <f t="shared" si="9"/>
        <v>1</v>
      </c>
    </row>
    <row r="128" spans="1:11" x14ac:dyDescent="0.35">
      <c r="A128">
        <v>51.76</v>
      </c>
      <c r="B128">
        <v>3.87</v>
      </c>
      <c r="C128">
        <v>0</v>
      </c>
      <c r="D128">
        <v>3.04</v>
      </c>
      <c r="E128">
        <v>59.05</v>
      </c>
      <c r="F128" t="s">
        <v>8</v>
      </c>
      <c r="G128" t="s">
        <v>13</v>
      </c>
      <c r="H128">
        <v>1</v>
      </c>
      <c r="I128" t="str">
        <f t="shared" si="5"/>
        <v>Poor Sleeper</v>
      </c>
      <c r="J128">
        <f t="shared" si="8"/>
        <v>0</v>
      </c>
      <c r="K128">
        <f t="shared" si="9"/>
        <v>0</v>
      </c>
    </row>
    <row r="129" spans="1:11" x14ac:dyDescent="0.35">
      <c r="A129">
        <v>68.64</v>
      </c>
      <c r="B129">
        <v>8.91</v>
      </c>
      <c r="C129">
        <v>0.54</v>
      </c>
      <c r="D129">
        <v>6.77</v>
      </c>
      <c r="E129">
        <v>42.37</v>
      </c>
      <c r="F129" t="s">
        <v>10</v>
      </c>
      <c r="G129" t="s">
        <v>13</v>
      </c>
      <c r="H129">
        <v>1</v>
      </c>
      <c r="I129" t="str">
        <f t="shared" si="5"/>
        <v>Good Sleeper</v>
      </c>
      <c r="J129">
        <f t="shared" si="8"/>
        <v>0</v>
      </c>
      <c r="K129">
        <f t="shared" si="9"/>
        <v>1</v>
      </c>
    </row>
    <row r="130" spans="1:11" x14ac:dyDescent="0.35">
      <c r="A130">
        <v>53.21</v>
      </c>
      <c r="B130">
        <v>4.7300000000000004</v>
      </c>
      <c r="C130">
        <v>0.67</v>
      </c>
      <c r="D130">
        <v>8.06</v>
      </c>
      <c r="E130">
        <v>24.1</v>
      </c>
      <c r="F130" t="s">
        <v>8</v>
      </c>
      <c r="G130" t="s">
        <v>13</v>
      </c>
      <c r="H130">
        <v>1</v>
      </c>
      <c r="I130" t="str">
        <f t="shared" ref="I130:I144" si="10">IF(B130&gt;=6, "Good Sleeper", "Poor Sleeper")</f>
        <v>Poor Sleeper</v>
      </c>
      <c r="J130">
        <f t="shared" ref="J130:J144" si="11">IF(AND(A130&gt;50,E130&lt;30),1,0)</f>
        <v>1</v>
      </c>
      <c r="K130">
        <f t="shared" ref="K130:K144" si="12">IF(C130&gt;0,1,0)</f>
        <v>1</v>
      </c>
    </row>
    <row r="131" spans="1:11" x14ac:dyDescent="0.35">
      <c r="A131">
        <v>60.64</v>
      </c>
      <c r="B131">
        <v>8.4600000000000009</v>
      </c>
      <c r="C131">
        <v>1.1000000000000001</v>
      </c>
      <c r="D131">
        <v>9.7200000000000006</v>
      </c>
      <c r="E131">
        <v>39.42</v>
      </c>
      <c r="F131" t="s">
        <v>9</v>
      </c>
      <c r="G131" t="s">
        <v>13</v>
      </c>
      <c r="H131">
        <v>1</v>
      </c>
      <c r="I131" t="str">
        <f t="shared" si="10"/>
        <v>Good Sleeper</v>
      </c>
      <c r="J131">
        <f t="shared" si="11"/>
        <v>0</v>
      </c>
      <c r="K131">
        <f t="shared" si="12"/>
        <v>1</v>
      </c>
    </row>
    <row r="132" spans="1:11" x14ac:dyDescent="0.35">
      <c r="A132">
        <v>60.48</v>
      </c>
      <c r="B132">
        <v>7.67</v>
      </c>
      <c r="C132">
        <v>1.32</v>
      </c>
      <c r="D132">
        <v>6.86</v>
      </c>
      <c r="E132">
        <v>27.69</v>
      </c>
      <c r="F132" t="s">
        <v>9</v>
      </c>
      <c r="G132" t="s">
        <v>13</v>
      </c>
      <c r="H132">
        <v>1</v>
      </c>
      <c r="I132" t="str">
        <f t="shared" si="10"/>
        <v>Good Sleeper</v>
      </c>
      <c r="J132">
        <f t="shared" si="11"/>
        <v>1</v>
      </c>
      <c r="K132">
        <f t="shared" si="12"/>
        <v>1</v>
      </c>
    </row>
    <row r="133" spans="1:11" x14ac:dyDescent="0.35">
      <c r="A133">
        <v>71.56</v>
      </c>
      <c r="B133">
        <v>2.84</v>
      </c>
      <c r="C133">
        <v>3.05</v>
      </c>
      <c r="D133">
        <v>6.93</v>
      </c>
      <c r="E133">
        <v>48.72</v>
      </c>
      <c r="F133" t="s">
        <v>10</v>
      </c>
      <c r="G133" t="s">
        <v>13</v>
      </c>
      <c r="H133">
        <v>1</v>
      </c>
      <c r="I133" t="str">
        <f t="shared" si="10"/>
        <v>Poor Sleeper</v>
      </c>
      <c r="J133">
        <f t="shared" si="11"/>
        <v>0</v>
      </c>
      <c r="K133">
        <f t="shared" si="12"/>
        <v>1</v>
      </c>
    </row>
    <row r="134" spans="1:11" x14ac:dyDescent="0.35">
      <c r="A134">
        <v>22.59</v>
      </c>
      <c r="B134">
        <v>7.6</v>
      </c>
      <c r="C134">
        <v>3.9</v>
      </c>
      <c r="D134">
        <v>6.11</v>
      </c>
      <c r="E134">
        <v>48.8</v>
      </c>
      <c r="F134" t="s">
        <v>10</v>
      </c>
      <c r="G134" t="s">
        <v>13</v>
      </c>
      <c r="H134">
        <v>1</v>
      </c>
      <c r="I134" t="str">
        <f t="shared" si="10"/>
        <v>Good Sleeper</v>
      </c>
      <c r="J134">
        <f t="shared" si="11"/>
        <v>0</v>
      </c>
      <c r="K134">
        <f t="shared" si="12"/>
        <v>1</v>
      </c>
    </row>
    <row r="135" spans="1:11" x14ac:dyDescent="0.35">
      <c r="A135">
        <v>46.32</v>
      </c>
      <c r="B135">
        <v>7.52</v>
      </c>
      <c r="C135">
        <v>4.22</v>
      </c>
      <c r="D135">
        <v>6.8</v>
      </c>
      <c r="E135">
        <v>13.23</v>
      </c>
      <c r="F135" t="s">
        <v>8</v>
      </c>
      <c r="G135" t="s">
        <v>13</v>
      </c>
      <c r="H135">
        <v>1</v>
      </c>
      <c r="I135" t="str">
        <f t="shared" si="10"/>
        <v>Good Sleeper</v>
      </c>
      <c r="J135">
        <f t="shared" si="11"/>
        <v>0</v>
      </c>
      <c r="K135">
        <f t="shared" si="12"/>
        <v>1</v>
      </c>
    </row>
    <row r="136" spans="1:11" x14ac:dyDescent="0.35">
      <c r="A136">
        <v>23.89</v>
      </c>
      <c r="B136">
        <v>6.11</v>
      </c>
      <c r="C136">
        <v>4.84</v>
      </c>
      <c r="D136">
        <v>10.32</v>
      </c>
      <c r="E136">
        <v>0</v>
      </c>
      <c r="F136" t="s">
        <v>9</v>
      </c>
      <c r="G136" t="s">
        <v>13</v>
      </c>
      <c r="H136">
        <v>1</v>
      </c>
      <c r="I136" t="str">
        <f t="shared" si="10"/>
        <v>Good Sleeper</v>
      </c>
      <c r="J136">
        <f t="shared" si="11"/>
        <v>0</v>
      </c>
      <c r="K136">
        <f t="shared" si="12"/>
        <v>1</v>
      </c>
    </row>
    <row r="137" spans="1:11" x14ac:dyDescent="0.35">
      <c r="A137">
        <v>42.42</v>
      </c>
      <c r="B137">
        <v>2.77</v>
      </c>
      <c r="C137">
        <v>0</v>
      </c>
      <c r="D137">
        <v>5.09</v>
      </c>
      <c r="E137">
        <v>36.14</v>
      </c>
      <c r="F137" t="s">
        <v>8</v>
      </c>
      <c r="G137" t="s">
        <v>12</v>
      </c>
      <c r="H137">
        <v>1</v>
      </c>
      <c r="I137" t="str">
        <f t="shared" si="10"/>
        <v>Poor Sleeper</v>
      </c>
      <c r="J137">
        <f t="shared" si="11"/>
        <v>0</v>
      </c>
      <c r="K137">
        <f t="shared" si="12"/>
        <v>0</v>
      </c>
    </row>
    <row r="138" spans="1:11" x14ac:dyDescent="0.35">
      <c r="A138">
        <v>73.02</v>
      </c>
      <c r="B138">
        <v>6.82</v>
      </c>
      <c r="C138">
        <v>0.28000000000000003</v>
      </c>
      <c r="D138">
        <v>6.25</v>
      </c>
      <c r="E138">
        <v>44.21</v>
      </c>
      <c r="F138" t="s">
        <v>8</v>
      </c>
      <c r="G138" t="s">
        <v>12</v>
      </c>
      <c r="H138">
        <v>1</v>
      </c>
      <c r="I138" t="str">
        <f t="shared" si="10"/>
        <v>Good Sleeper</v>
      </c>
      <c r="J138">
        <f t="shared" si="11"/>
        <v>0</v>
      </c>
      <c r="K138">
        <f t="shared" si="12"/>
        <v>1</v>
      </c>
    </row>
    <row r="139" spans="1:11" x14ac:dyDescent="0.35">
      <c r="A139">
        <v>71.23</v>
      </c>
      <c r="B139">
        <v>7.46</v>
      </c>
      <c r="C139">
        <v>0.66</v>
      </c>
      <c r="D139">
        <v>3.95</v>
      </c>
      <c r="E139">
        <v>50.87</v>
      </c>
      <c r="F139" t="s">
        <v>9</v>
      </c>
      <c r="G139" t="s">
        <v>12</v>
      </c>
      <c r="H139">
        <v>1</v>
      </c>
      <c r="I139" t="str">
        <f t="shared" si="10"/>
        <v>Good Sleeper</v>
      </c>
      <c r="J139">
        <f t="shared" si="11"/>
        <v>0</v>
      </c>
      <c r="K139">
        <f t="shared" si="12"/>
        <v>1</v>
      </c>
    </row>
    <row r="140" spans="1:11" x14ac:dyDescent="0.35">
      <c r="A140">
        <v>51.97</v>
      </c>
      <c r="B140">
        <v>1</v>
      </c>
      <c r="C140">
        <v>1.35</v>
      </c>
      <c r="D140">
        <v>5.0199999999999996</v>
      </c>
      <c r="E140">
        <v>20.48</v>
      </c>
      <c r="F140" t="s">
        <v>9</v>
      </c>
      <c r="G140" t="s">
        <v>12</v>
      </c>
      <c r="H140">
        <v>1</v>
      </c>
      <c r="I140" t="str">
        <f t="shared" si="10"/>
        <v>Poor Sleeper</v>
      </c>
      <c r="J140">
        <f t="shared" si="11"/>
        <v>1</v>
      </c>
      <c r="K140">
        <f t="shared" si="12"/>
        <v>1</v>
      </c>
    </row>
    <row r="141" spans="1:11" x14ac:dyDescent="0.35">
      <c r="A141">
        <v>73.84</v>
      </c>
      <c r="B141">
        <v>6.34</v>
      </c>
      <c r="C141">
        <v>1.44</v>
      </c>
      <c r="D141">
        <v>9.35</v>
      </c>
      <c r="E141">
        <v>27.31</v>
      </c>
      <c r="F141" t="s">
        <v>10</v>
      </c>
      <c r="G141" t="s">
        <v>12</v>
      </c>
      <c r="H141">
        <v>1</v>
      </c>
      <c r="I141" t="str">
        <f t="shared" si="10"/>
        <v>Good Sleeper</v>
      </c>
      <c r="J141">
        <f t="shared" si="11"/>
        <v>1</v>
      </c>
      <c r="K141">
        <f t="shared" si="12"/>
        <v>1</v>
      </c>
    </row>
    <row r="142" spans="1:11" x14ac:dyDescent="0.35">
      <c r="A142">
        <v>74.12</v>
      </c>
      <c r="B142">
        <v>7.56</v>
      </c>
      <c r="C142">
        <v>2.35</v>
      </c>
      <c r="D142">
        <v>6.16</v>
      </c>
      <c r="E142">
        <v>27.19</v>
      </c>
      <c r="F142" t="s">
        <v>8</v>
      </c>
      <c r="G142" t="s">
        <v>12</v>
      </c>
      <c r="H142">
        <v>1</v>
      </c>
      <c r="I142" t="str">
        <f t="shared" si="10"/>
        <v>Good Sleeper</v>
      </c>
      <c r="J142">
        <f t="shared" si="11"/>
        <v>1</v>
      </c>
      <c r="K142">
        <f t="shared" si="12"/>
        <v>1</v>
      </c>
    </row>
    <row r="143" spans="1:11" x14ac:dyDescent="0.35">
      <c r="A143">
        <v>38.69</v>
      </c>
      <c r="B143">
        <v>8.75</v>
      </c>
      <c r="C143">
        <v>3.47</v>
      </c>
      <c r="D143">
        <v>4.82</v>
      </c>
      <c r="E143">
        <v>0</v>
      </c>
      <c r="F143" t="s">
        <v>8</v>
      </c>
      <c r="G143" t="s">
        <v>12</v>
      </c>
      <c r="H143">
        <v>1</v>
      </c>
      <c r="I143" t="str">
        <f t="shared" si="10"/>
        <v>Good Sleeper</v>
      </c>
      <c r="J143">
        <f t="shared" si="11"/>
        <v>0</v>
      </c>
      <c r="K143">
        <f t="shared" si="12"/>
        <v>1</v>
      </c>
    </row>
    <row r="144" spans="1:11" x14ac:dyDescent="0.35">
      <c r="A144">
        <v>73.11</v>
      </c>
      <c r="B144">
        <v>2.3199999999999998</v>
      </c>
      <c r="C144">
        <v>4.45</v>
      </c>
      <c r="D144">
        <v>8.5299999999999994</v>
      </c>
      <c r="E144">
        <v>29.78</v>
      </c>
      <c r="F144" t="s">
        <v>8</v>
      </c>
      <c r="G144" t="s">
        <v>12</v>
      </c>
      <c r="H144">
        <v>1</v>
      </c>
      <c r="I144" t="str">
        <f t="shared" si="10"/>
        <v>Poor Sleeper</v>
      </c>
      <c r="J144">
        <f t="shared" si="11"/>
        <v>1</v>
      </c>
      <c r="K144">
        <f t="shared" si="12"/>
        <v>1</v>
      </c>
    </row>
    <row r="146" spans="1:5" x14ac:dyDescent="0.35">
      <c r="A146" s="1" t="s">
        <v>0</v>
      </c>
      <c r="B146" s="1" t="s">
        <v>1</v>
      </c>
      <c r="C146" s="1" t="s">
        <v>2</v>
      </c>
      <c r="D146" s="1" t="s">
        <v>3</v>
      </c>
      <c r="E146" s="1" t="s">
        <v>4</v>
      </c>
    </row>
    <row r="147" spans="1:5" x14ac:dyDescent="0.35">
      <c r="A147" t="s">
        <v>14</v>
      </c>
      <c r="B147" t="s">
        <v>14</v>
      </c>
      <c r="C147" t="s">
        <v>14</v>
      </c>
      <c r="D147" t="s">
        <v>14</v>
      </c>
      <c r="E147" t="s">
        <v>14</v>
      </c>
    </row>
    <row r="148" spans="1:5" x14ac:dyDescent="0.35">
      <c r="A148">
        <f>AVERAGE(A2:A144)</f>
        <v>46.445384615384626</v>
      </c>
      <c r="B148">
        <f>AVERAGE(B2:B144)</f>
        <v>6.0839160839160833</v>
      </c>
      <c r="C148">
        <f>AVERAGE(C2:C144)</f>
        <v>2.7916083916083925</v>
      </c>
      <c r="D148">
        <f>AVERAGE(D2:D144)</f>
        <v>6.8802097902097898</v>
      </c>
      <c r="E148">
        <f>AVERAGE(E2:E144)</f>
        <v>28.696853146853151</v>
      </c>
    </row>
    <row r="149" spans="1:5" x14ac:dyDescent="0.35">
      <c r="A149" t="s">
        <v>15</v>
      </c>
      <c r="B149" t="s">
        <v>15</v>
      </c>
      <c r="C149" t="s">
        <v>15</v>
      </c>
      <c r="D149" t="s">
        <v>15</v>
      </c>
      <c r="E149" t="s">
        <v>15</v>
      </c>
    </row>
    <row r="150" spans="1:5" x14ac:dyDescent="0.35">
      <c r="A150">
        <f>MEDIAN(A2:A144)</f>
        <v>47.42</v>
      </c>
      <c r="B150">
        <f>MEDIAN(B2:B144)</f>
        <v>6.33</v>
      </c>
      <c r="C150">
        <f>MEDIAN(C2:C144)</f>
        <v>2.5</v>
      </c>
      <c r="D150">
        <f>MEDIAN(D2:D144)</f>
        <v>6.93</v>
      </c>
      <c r="E150">
        <f>MEDIAN(E2:E144)</f>
        <v>28</v>
      </c>
    </row>
    <row r="151" spans="1:5" x14ac:dyDescent="0.35">
      <c r="A151" t="s">
        <v>16</v>
      </c>
      <c r="B151" t="s">
        <v>16</v>
      </c>
      <c r="C151" t="s">
        <v>16</v>
      </c>
      <c r="D151" t="s">
        <v>16</v>
      </c>
      <c r="E151" t="s">
        <v>16</v>
      </c>
    </row>
    <row r="152" spans="1:5" x14ac:dyDescent="0.35">
      <c r="A152">
        <f>_xlfn.STDEV.S(A2:A144)</f>
        <v>20.532066564801752</v>
      </c>
      <c r="B152">
        <f>_xlfn.STDEV.S(B2:B144)</f>
        <v>2.1309073763140507</v>
      </c>
      <c r="C152">
        <f>_xlfn.STDEV.S(C2:C144)</f>
        <v>1.9461596891580424</v>
      </c>
      <c r="D152">
        <f>_xlfn.STDEV.S(D2:D144)</f>
        <v>2.397650689512036</v>
      </c>
      <c r="E152">
        <f>_xlfn.STDEV.S(E2:E144)</f>
        <v>14.705443919605017</v>
      </c>
    </row>
    <row r="153" spans="1:5" x14ac:dyDescent="0.35">
      <c r="A153" t="s">
        <v>17</v>
      </c>
      <c r="B153" t="s">
        <v>17</v>
      </c>
      <c r="C153" t="s">
        <v>17</v>
      </c>
      <c r="D153" t="s">
        <v>17</v>
      </c>
      <c r="E153" t="s">
        <v>17</v>
      </c>
    </row>
    <row r="154" spans="1:5" x14ac:dyDescent="0.35">
      <c r="A154">
        <f>CORREL(A2:A144,H2:H144)</f>
        <v>0.23364790763951429</v>
      </c>
      <c r="B154">
        <f>CORREL(B2:B144,H2:H144)</f>
        <v>-0.13978049093395958</v>
      </c>
      <c r="C154">
        <f>CORREL(C2:C144,H2:H144)</f>
        <v>-0.16996636630277229</v>
      </c>
      <c r="D154">
        <f>CORREL(D2:D144,H2:H144)</f>
        <v>2.5656060624662011E-2</v>
      </c>
      <c r="E154">
        <f>CORREL(E2:E144,H2:H144)</f>
        <v>-2.9396423674842638E-2</v>
      </c>
    </row>
  </sheetData>
  <sortState xmlns:xlrd2="http://schemas.microsoft.com/office/spreadsheetml/2017/richdata2" ref="A2:H148">
    <sortCondition ref="G2:G148"/>
  </sortSt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5910931949EE47B56FBA5DD58B208B" ma:contentTypeVersion="11" ma:contentTypeDescription="Create a new document." ma:contentTypeScope="" ma:versionID="4c98f2879eb0310f92b52ad2e6e411d4">
  <xsd:schema xmlns:xsd="http://www.w3.org/2001/XMLSchema" xmlns:xs="http://www.w3.org/2001/XMLSchema" xmlns:p="http://schemas.microsoft.com/office/2006/metadata/properties" xmlns:ns3="b7eb7965-275a-43ce-82dc-e0bc1b84c33b" targetNamespace="http://schemas.microsoft.com/office/2006/metadata/properties" ma:root="true" ma:fieldsID="5147099ab857c14fde949ae95735df53" ns3:_="">
    <xsd:import namespace="b7eb7965-275a-43ce-82dc-e0bc1b84c33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eb7965-275a-43ce-82dc-e0bc1b84c33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7eb7965-275a-43ce-82dc-e0bc1b84c33b" xsi:nil="true"/>
  </documentManagement>
</p:properties>
</file>

<file path=customXml/item4.xml>��
</file>

<file path=customXml/itemProps1.xml><?xml version="1.0" encoding="utf-8"?>
<ds:datastoreItem xmlns:ds="http://schemas.openxmlformats.org/officeDocument/2006/customXml" ds:itemID="{065796B6-F0F5-470E-817D-422B688958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eb7965-275a-43ce-82dc-e0bc1b84c3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711DDE-2CA0-483F-AFDD-BA2A6FF6BF12}">
  <ds:schemaRefs>
    <ds:schemaRef ds:uri="http://schemas.microsoft.com/sharepoint/v3/contenttype/forms"/>
  </ds:schemaRefs>
</ds:datastoreItem>
</file>

<file path=customXml/itemProps3.xml><?xml version="1.0" encoding="utf-8"?>
<ds:datastoreItem xmlns:ds="http://schemas.openxmlformats.org/officeDocument/2006/customXml" ds:itemID="{8A3C7D49-5546-40F8-A683-6A7F7156652D}">
  <ds:schemaRefs>
    <ds:schemaRef ds:uri="http://www.w3.org/XML/1998/namespace"/>
    <ds:schemaRef ds:uri="http://schemas.microsoft.com/office/2006/documentManagement/types"/>
    <ds:schemaRef ds:uri="http://schemas.microsoft.com/office/2006/metadata/properties"/>
    <ds:schemaRef ds:uri="http://purl.org/dc/dcmitype/"/>
    <ds:schemaRef ds:uri="b7eb7965-275a-43ce-82dc-e0bc1b84c33b"/>
    <ds:schemaRef ds:uri="http://purl.org/dc/elements/1.1/"/>
    <ds:schemaRef ds:uri="http://purl.org/dc/terms/"/>
    <ds:schemaRef ds:uri="http://schemas.microsoft.com/office/infopath/2007/PartnerControls"/>
    <ds:schemaRef ds:uri="http://schemas.openxmlformats.org/package/2006/metadata/core-properties"/>
  </ds:schemaRefs>
</ds:datastoreItem>
</file>

<file path=customXml/itemProps4.xml><?xml version="1.0" encoding="utf-8"?>
<ds:datastoreItem xmlns:ds="http://schemas.openxmlformats.org/officeDocument/2006/customXml" ds:itemID="{24CEA1D6-2E2E-4708-B60A-55A74DB7FB93}">
  <ds:schemaRefs>
    <ds:schemaRef ds:uri="http://schemas.microsoft.com/DataMashup"/>
  </ds:schemaRefs>
</ds:datastoreItem>
</file>

<file path=docMetadata/LabelInfo.xml><?xml version="1.0" encoding="utf-8"?>
<clbl:labelList xmlns:clbl="http://schemas.microsoft.com/office/2020/mipLabelMetadata">
  <clbl:label id="{766317cb-e948-4e5f-8cec-dabc8e2fd5da}" enabled="0" method="" siteId="{766317cb-e948-4e5f-8cec-dabc8e2fd5d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original</vt:lpstr>
      <vt:lpstr>pivot+graphs</vt:lpstr>
      <vt:lpstr>cleaned_dataset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Younis</dc:creator>
  <cp:lastModifiedBy>C24372973 Mohammed Younis</cp:lastModifiedBy>
  <dcterms:created xsi:type="dcterms:W3CDTF">2025-10-30T14:50:11Z</dcterms:created>
  <dcterms:modified xsi:type="dcterms:W3CDTF">2025-12-01T02:16:10Z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0x010100A25910931949EE47B56FBA5DD58B208B</vt:lpwstr>
  </property>
</Properties>
</file>