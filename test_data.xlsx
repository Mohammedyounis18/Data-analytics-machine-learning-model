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rog\Downloads\"/>
    </mc:Choice>
  </mc:AlternateContent>
  <xr:revisionPtr revIDLastSave="0" documentId="13_ncr:1_{DB44E084-A726-4A5C-B6F9-ABB3D8C13D28}" xr6:coauthVersionLast="47" xr6:coauthVersionMax="47" xr10:uidLastSave="{00000000-0000-0000-0000-000000000000}"/>
  <bookViews>
    <workbookView xWindow="-110" yWindow="-110" windowWidth="25820" windowHeight="13900" xr2:uid="{65E7C2E5-0A03-47BC-B7C6-15268CCE3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<sst xmlns="http://schemas.openxmlformats.org/spreadsheetml/2006/main" count="95" uniqueCount="16">
  <si>
    <t>Low</t>
  </si>
  <si>
    <t>TypeB</t>
  </si>
  <si>
    <t>High</t>
  </si>
  <si>
    <t>Medium</t>
  </si>
  <si>
    <t>TypeC</t>
  </si>
  <si>
    <t>work_performance_metric1</t>
  </si>
  <si>
    <t>sleep_related_metric</t>
  </si>
  <si>
    <t>activity_metric</t>
  </si>
  <si>
    <t>screen_related_metric</t>
  </si>
  <si>
    <t>time_metric</t>
  </si>
  <si>
    <t>Level_Group</t>
  </si>
  <si>
    <t>Category_Type</t>
  </si>
  <si>
    <t>work_performance_label</t>
  </si>
  <si>
    <t>good_sleeper_category</t>
  </si>
  <si>
    <t>high_efficency flag</t>
  </si>
  <si>
    <t>has_activity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</si>
</sst>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E362-7F03-4DAF-B6B7-89E697B35AE1}">
  <dimension ref="A1:K43"/>
  <sheetViews>
    <sheetView tabSelected="1" zoomScaleNormal="100" workbookViewId="0">
      <selection sqref="A1:XFD1"/>
    </sheetView>
  </sheetViews>
  <sheetFormatPr defaultRowHeight="14.5" x14ac:dyDescent="0.35"/>
  <cols>
    <col min="1" max="1" width="23.90625" bestFit="1" customWidth="1"/>
    <col min="2" max="2" width="18.54296875" bestFit="1" customWidth="1"/>
    <col min="3" max="3" width="13.36328125" bestFit="1" customWidth="1"/>
    <col min="4" max="4" width="19.6328125" bestFit="1" customWidth="1"/>
    <col min="5" max="5" width="10.90625" bestFit="1" customWidth="1"/>
    <col min="6" max="6" width="11.08984375" bestFit="1" customWidth="1"/>
    <col min="7" max="7" width="13" bestFit="1" customWidth="1"/>
    <col min="8" max="8" width="21.6328125" bestFit="1" customWidth="1"/>
    <col min="9" max="9" width="19.90625" bestFit="1" customWidth="1"/>
    <col min="10" max="10" width="16.6328125" bestFit="1" customWidth="1"/>
    <col min="11" max="11" width="10.81640625" bestFit="1" customWidth="1"/>
  </cols>
  <sheetData>
    <row r="1" spans="1:11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2" t="s">
        <v>13</v>
      </c>
      <c r="J1" s="2" t="s">
        <v>14</v>
      </c>
      <c r="K1" s="2" t="s">
        <v>15</v>
      </c>
    </row>
    <row r="2" spans="1:11" x14ac:dyDescent="0.35">
      <c r="A2">
        <v>34.74</v>
      </c>
      <c r="B2">
        <v>7.58</v>
      </c>
      <c r="C2">
        <v>4.25</v>
      </c>
      <c r="D2">
        <v>4.71</v>
      </c>
      <c r="E2">
        <v>17.010000000000002</v>
      </c>
      <c r="F2" t="s">
        <v>2</v>
      </c>
      <c r="G2" t="s">
        <v>1</v>
      </c>
      <c r="H2">
        <v>0</v>
      </c>
      <c r="I2" t="str">
        <f t="shared" ref="I2:I43" si="0">IF(B2&gt;=6, "Good Sleeper", "Poor Sleeper")</f>
        <v>Good Sleeper</v>
      </c>
      <c r="J2">
        <f t="shared" ref="J2:J43" si="1">IF(AND(A2&gt;50,E2&lt;30),1,0)</f>
        <v>0</v>
      </c>
      <c r="K2">
        <f t="shared" ref="K2:K43" si="2">IF(C2&gt;0,1,0)</f>
        <v>1</v>
      </c>
    </row>
    <row r="3" spans="1:11" x14ac:dyDescent="0.35">
      <c r="A3">
        <v>34.21</v>
      </c>
      <c r="B3">
        <v>5.83</v>
      </c>
      <c r="C3">
        <v>4.2699999999999996</v>
      </c>
      <c r="D3">
        <v>9.0299999999999994</v>
      </c>
      <c r="E3">
        <v>36.35</v>
      </c>
      <c r="F3" t="s">
        <v>3</v>
      </c>
      <c r="G3" t="s">
        <v>1</v>
      </c>
      <c r="H3">
        <v>0</v>
      </c>
      <c r="I3" t="str">
        <f t="shared" si="0"/>
        <v>Poor Sleeper</v>
      </c>
      <c r="J3">
        <f t="shared" si="1"/>
        <v>0</v>
      </c>
      <c r="K3">
        <f t="shared" si="2"/>
        <v>1</v>
      </c>
    </row>
    <row r="4" spans="1:11" x14ac:dyDescent="0.35">
      <c r="A4">
        <v>44.47</v>
      </c>
      <c r="B4">
        <v>4.16</v>
      </c>
      <c r="C4">
        <v>4.29</v>
      </c>
      <c r="D4">
        <v>8.34</v>
      </c>
      <c r="E4">
        <v>9.41</v>
      </c>
      <c r="F4" t="s">
        <v>3</v>
      </c>
      <c r="G4" t="s">
        <v>1</v>
      </c>
      <c r="H4">
        <v>0</v>
      </c>
      <c r="I4" t="str">
        <f t="shared" si="0"/>
        <v>Poor Sleeper</v>
      </c>
      <c r="J4">
        <f t="shared" si="1"/>
        <v>0</v>
      </c>
      <c r="K4">
        <f t="shared" si="2"/>
        <v>1</v>
      </c>
    </row>
    <row r="5" spans="1:11" x14ac:dyDescent="0.35">
      <c r="A5">
        <v>44.57</v>
      </c>
      <c r="B5">
        <v>5.98</v>
      </c>
      <c r="C5">
        <v>4.5199999999999996</v>
      </c>
      <c r="D5">
        <v>6.28</v>
      </c>
      <c r="E5">
        <v>41.52</v>
      </c>
      <c r="F5" t="s">
        <v>2</v>
      </c>
      <c r="G5" t="s">
        <v>1</v>
      </c>
      <c r="H5">
        <v>0</v>
      </c>
      <c r="I5" t="str">
        <f t="shared" si="0"/>
        <v>Poor Sleeper</v>
      </c>
      <c r="J5">
        <f t="shared" si="1"/>
        <v>0</v>
      </c>
      <c r="K5">
        <f t="shared" si="2"/>
        <v>1</v>
      </c>
    </row>
    <row r="6" spans="1:11" x14ac:dyDescent="0.35">
      <c r="A6">
        <v>40.26</v>
      </c>
      <c r="B6">
        <v>8.36</v>
      </c>
      <c r="C6">
        <v>4.59</v>
      </c>
      <c r="D6">
        <v>7.18</v>
      </c>
      <c r="E6">
        <v>31.42</v>
      </c>
      <c r="F6" t="s">
        <v>0</v>
      </c>
      <c r="G6" t="s">
        <v>1</v>
      </c>
      <c r="H6">
        <v>0</v>
      </c>
      <c r="I6" t="str">
        <f t="shared" si="0"/>
        <v>Good Sleeper</v>
      </c>
      <c r="J6">
        <f t="shared" si="1"/>
        <v>0</v>
      </c>
      <c r="K6">
        <f t="shared" si="2"/>
        <v>1</v>
      </c>
    </row>
    <row r="7" spans="1:11" x14ac:dyDescent="0.35">
      <c r="A7">
        <v>65.58</v>
      </c>
      <c r="B7">
        <v>5.0599999999999996</v>
      </c>
      <c r="C7">
        <v>4.6399999999999997</v>
      </c>
      <c r="D7">
        <v>4.07</v>
      </c>
      <c r="E7">
        <v>0</v>
      </c>
      <c r="F7" t="s">
        <v>3</v>
      </c>
      <c r="G7" t="s">
        <v>1</v>
      </c>
      <c r="H7">
        <v>0</v>
      </c>
      <c r="I7" t="str">
        <f t="shared" si="0"/>
        <v>Poor Sleeper</v>
      </c>
      <c r="J7">
        <f t="shared" si="1"/>
        <v>1</v>
      </c>
      <c r="K7">
        <f t="shared" si="2"/>
        <v>1</v>
      </c>
    </row>
    <row r="8" spans="1:11" x14ac:dyDescent="0.35">
      <c r="A8">
        <v>43.05</v>
      </c>
      <c r="B8">
        <v>6.41</v>
      </c>
      <c r="C8">
        <v>4.7300000000000004</v>
      </c>
      <c r="D8">
        <v>9.7200000000000006</v>
      </c>
      <c r="E8">
        <v>32.43</v>
      </c>
      <c r="F8" t="s">
        <v>2</v>
      </c>
      <c r="G8" t="s">
        <v>1</v>
      </c>
      <c r="H8">
        <v>0</v>
      </c>
      <c r="I8" t="str">
        <f t="shared" si="0"/>
        <v>Good Sleeper</v>
      </c>
      <c r="J8">
        <f t="shared" si="1"/>
        <v>0</v>
      </c>
      <c r="K8">
        <f t="shared" si="2"/>
        <v>1</v>
      </c>
    </row>
    <row r="9" spans="1:11" x14ac:dyDescent="0.35">
      <c r="A9">
        <v>20.100000000000001</v>
      </c>
      <c r="B9">
        <v>6.41</v>
      </c>
      <c r="C9">
        <v>4.79</v>
      </c>
      <c r="D9">
        <v>10.97</v>
      </c>
      <c r="E9">
        <v>24.25</v>
      </c>
      <c r="F9" t="s">
        <v>2</v>
      </c>
      <c r="G9" t="s">
        <v>1</v>
      </c>
      <c r="H9">
        <v>0</v>
      </c>
      <c r="I9" t="str">
        <f t="shared" si="0"/>
        <v>Good Sleeper</v>
      </c>
      <c r="J9">
        <f t="shared" si="1"/>
        <v>0</v>
      </c>
      <c r="K9">
        <f t="shared" si="2"/>
        <v>1</v>
      </c>
    </row>
    <row r="10" spans="1:11" x14ac:dyDescent="0.35">
      <c r="A10">
        <v>64.05</v>
      </c>
      <c r="B10">
        <v>5.41</v>
      </c>
      <c r="C10">
        <v>4.8499999999999996</v>
      </c>
      <c r="D10">
        <v>1.76</v>
      </c>
      <c r="E10">
        <v>22.41</v>
      </c>
      <c r="F10" t="s">
        <v>3</v>
      </c>
      <c r="G10" t="s">
        <v>1</v>
      </c>
      <c r="H10">
        <v>0</v>
      </c>
      <c r="I10" t="str">
        <f t="shared" si="0"/>
        <v>Poor Sleeper</v>
      </c>
      <c r="J10">
        <f t="shared" si="1"/>
        <v>1</v>
      </c>
      <c r="K10">
        <f t="shared" si="2"/>
        <v>1</v>
      </c>
    </row>
    <row r="11" spans="1:11" x14ac:dyDescent="0.35">
      <c r="A11">
        <v>45.67</v>
      </c>
      <c r="B11">
        <v>8.33</v>
      </c>
      <c r="C11">
        <v>5.49</v>
      </c>
      <c r="D11">
        <v>7.71</v>
      </c>
      <c r="E11">
        <v>7.38</v>
      </c>
      <c r="F11" t="s">
        <v>2</v>
      </c>
      <c r="G11" t="s">
        <v>1</v>
      </c>
      <c r="H11">
        <v>0</v>
      </c>
      <c r="I11" t="str">
        <f t="shared" si="0"/>
        <v>Good Sleeper</v>
      </c>
      <c r="J11">
        <f t="shared" si="1"/>
        <v>0</v>
      </c>
      <c r="K11">
        <f t="shared" si="2"/>
        <v>1</v>
      </c>
    </row>
    <row r="12" spans="1:11" x14ac:dyDescent="0.35">
      <c r="A12">
        <v>11.8</v>
      </c>
      <c r="B12">
        <v>9.2899999999999991</v>
      </c>
      <c r="C12">
        <v>7.44</v>
      </c>
      <c r="D12">
        <v>8.74</v>
      </c>
      <c r="E12">
        <v>1.77</v>
      </c>
      <c r="F12" t="s">
        <v>3</v>
      </c>
      <c r="G12" t="s">
        <v>1</v>
      </c>
      <c r="H12">
        <v>0</v>
      </c>
      <c r="I12" t="str">
        <f t="shared" si="0"/>
        <v>Good Sleeper</v>
      </c>
      <c r="J12">
        <f t="shared" si="1"/>
        <v>0</v>
      </c>
      <c r="K12">
        <f t="shared" si="2"/>
        <v>1</v>
      </c>
    </row>
    <row r="13" spans="1:11" x14ac:dyDescent="0.35">
      <c r="A13">
        <v>40.08</v>
      </c>
      <c r="B13">
        <v>6.6</v>
      </c>
      <c r="C13">
        <v>0</v>
      </c>
      <c r="D13">
        <v>6.28</v>
      </c>
      <c r="E13">
        <v>12.6</v>
      </c>
      <c r="F13" t="s">
        <v>2</v>
      </c>
      <c r="G13" t="s">
        <v>4</v>
      </c>
      <c r="H13">
        <v>0</v>
      </c>
      <c r="I13" t="str">
        <f t="shared" si="0"/>
        <v>Good Sleeper</v>
      </c>
      <c r="J13">
        <f t="shared" si="1"/>
        <v>0</v>
      </c>
      <c r="K13">
        <f t="shared" si="2"/>
        <v>0</v>
      </c>
    </row>
    <row r="14" spans="1:11" x14ac:dyDescent="0.35">
      <c r="A14">
        <v>19.899999999999999</v>
      </c>
      <c r="B14">
        <v>10.51</v>
      </c>
      <c r="C14">
        <v>0</v>
      </c>
      <c r="D14">
        <v>13.74</v>
      </c>
      <c r="E14">
        <v>35.15</v>
      </c>
      <c r="F14" t="s">
        <v>0</v>
      </c>
      <c r="G14" t="s">
        <v>4</v>
      </c>
      <c r="H14">
        <v>0</v>
      </c>
      <c r="I14" t="str">
        <f t="shared" si="0"/>
        <v>Good Sleeper</v>
      </c>
      <c r="J14">
        <f t="shared" si="1"/>
        <v>0</v>
      </c>
      <c r="K14">
        <f t="shared" si="2"/>
        <v>0</v>
      </c>
    </row>
    <row r="15" spans="1:11" x14ac:dyDescent="0.35">
      <c r="A15">
        <v>52.46</v>
      </c>
      <c r="B15">
        <v>5.0999999999999996</v>
      </c>
      <c r="C15">
        <v>0</v>
      </c>
      <c r="D15">
        <v>4.1500000000000004</v>
      </c>
      <c r="E15">
        <v>43.53</v>
      </c>
      <c r="F15" t="s">
        <v>3</v>
      </c>
      <c r="G15" t="s">
        <v>4</v>
      </c>
      <c r="H15">
        <v>0</v>
      </c>
      <c r="I15" t="str">
        <f t="shared" si="0"/>
        <v>Poor Sleeper</v>
      </c>
      <c r="J15">
        <f t="shared" si="1"/>
        <v>0</v>
      </c>
      <c r="K15">
        <f t="shared" si="2"/>
        <v>0</v>
      </c>
    </row>
    <row r="16" spans="1:11" x14ac:dyDescent="0.35">
      <c r="A16">
        <v>90.44</v>
      </c>
      <c r="B16">
        <v>7.11</v>
      </c>
      <c r="C16">
        <v>0.81</v>
      </c>
      <c r="D16">
        <v>10.16</v>
      </c>
      <c r="E16">
        <v>0</v>
      </c>
      <c r="F16" t="s">
        <v>3</v>
      </c>
      <c r="G16" t="s">
        <v>4</v>
      </c>
      <c r="H16">
        <v>0</v>
      </c>
      <c r="I16" t="str">
        <f t="shared" si="0"/>
        <v>Good Sleeper</v>
      </c>
      <c r="J16">
        <f t="shared" si="1"/>
        <v>1</v>
      </c>
      <c r="K16">
        <f t="shared" si="2"/>
        <v>1</v>
      </c>
    </row>
    <row r="17" spans="1:11" x14ac:dyDescent="0.35">
      <c r="A17">
        <v>16.97</v>
      </c>
      <c r="B17">
        <v>7.93</v>
      </c>
      <c r="C17">
        <v>1.1599999999999999</v>
      </c>
      <c r="D17">
        <v>10.17</v>
      </c>
      <c r="E17">
        <v>23.39</v>
      </c>
      <c r="F17" t="s">
        <v>3</v>
      </c>
      <c r="G17" t="s">
        <v>4</v>
      </c>
      <c r="H17">
        <v>0</v>
      </c>
      <c r="I17" t="str">
        <f t="shared" si="0"/>
        <v>Good Sleeper</v>
      </c>
      <c r="J17">
        <f t="shared" si="1"/>
        <v>0</v>
      </c>
      <c r="K17">
        <f t="shared" si="2"/>
        <v>1</v>
      </c>
    </row>
    <row r="18" spans="1:11" x14ac:dyDescent="0.35">
      <c r="A18">
        <v>45.72</v>
      </c>
      <c r="B18">
        <v>7.37</v>
      </c>
      <c r="C18">
        <v>1.17</v>
      </c>
      <c r="D18">
        <v>3.34</v>
      </c>
      <c r="E18">
        <v>27.55</v>
      </c>
      <c r="F18" t="s">
        <v>2</v>
      </c>
      <c r="G18" t="s">
        <v>4</v>
      </c>
      <c r="H18">
        <v>0</v>
      </c>
      <c r="I18" t="str">
        <f t="shared" si="0"/>
        <v>Good Sleeper</v>
      </c>
      <c r="J18">
        <f t="shared" si="1"/>
        <v>0</v>
      </c>
      <c r="K18">
        <f t="shared" si="2"/>
        <v>1</v>
      </c>
    </row>
    <row r="19" spans="1:11" x14ac:dyDescent="0.35">
      <c r="A19">
        <v>39.159999999999997</v>
      </c>
      <c r="B19">
        <v>6.27</v>
      </c>
      <c r="C19">
        <v>1.27</v>
      </c>
      <c r="D19">
        <v>6.12</v>
      </c>
      <c r="E19">
        <v>46.35</v>
      </c>
      <c r="F19" t="s">
        <v>3</v>
      </c>
      <c r="G19" t="s">
        <v>4</v>
      </c>
      <c r="H19">
        <v>0</v>
      </c>
      <c r="I19" t="str">
        <f t="shared" si="0"/>
        <v>Good Sleeper</v>
      </c>
      <c r="J19">
        <f t="shared" si="1"/>
        <v>0</v>
      </c>
      <c r="K19">
        <f t="shared" si="2"/>
        <v>1</v>
      </c>
    </row>
    <row r="20" spans="1:11" x14ac:dyDescent="0.35">
      <c r="A20">
        <v>26.98</v>
      </c>
      <c r="B20">
        <v>4.63</v>
      </c>
      <c r="C20">
        <v>1.41</v>
      </c>
      <c r="D20">
        <v>6.03</v>
      </c>
      <c r="E20">
        <v>2.61</v>
      </c>
      <c r="F20" t="s">
        <v>3</v>
      </c>
      <c r="G20" t="s">
        <v>4</v>
      </c>
      <c r="H20">
        <v>0</v>
      </c>
      <c r="I20" t="str">
        <f t="shared" si="0"/>
        <v>Poor Sleeper</v>
      </c>
      <c r="J20">
        <f t="shared" si="1"/>
        <v>0</v>
      </c>
      <c r="K20">
        <f t="shared" si="2"/>
        <v>1</v>
      </c>
    </row>
    <row r="21" spans="1:11" x14ac:dyDescent="0.35">
      <c r="A21">
        <v>5</v>
      </c>
      <c r="B21">
        <v>2.94</v>
      </c>
      <c r="C21">
        <v>1.52</v>
      </c>
      <c r="D21">
        <v>5.31</v>
      </c>
      <c r="E21">
        <v>38.880000000000003</v>
      </c>
      <c r="F21" t="s">
        <v>3</v>
      </c>
      <c r="G21" t="s">
        <v>4</v>
      </c>
      <c r="H21">
        <v>0</v>
      </c>
      <c r="I21" t="str">
        <f t="shared" si="0"/>
        <v>Poor Sleeper</v>
      </c>
      <c r="J21">
        <f t="shared" si="1"/>
        <v>0</v>
      </c>
      <c r="K21">
        <f t="shared" si="2"/>
        <v>1</v>
      </c>
    </row>
    <row r="22" spans="1:11" x14ac:dyDescent="0.35">
      <c r="A22">
        <v>27.71</v>
      </c>
      <c r="B22">
        <v>4.03</v>
      </c>
      <c r="C22">
        <v>1.56</v>
      </c>
      <c r="D22">
        <v>7.32</v>
      </c>
      <c r="E22">
        <v>32.369999999999997</v>
      </c>
      <c r="F22" t="s">
        <v>0</v>
      </c>
      <c r="G22" t="s">
        <v>4</v>
      </c>
      <c r="H22">
        <v>0</v>
      </c>
      <c r="I22" t="str">
        <f t="shared" si="0"/>
        <v>Poor Sleeper</v>
      </c>
      <c r="J22">
        <f t="shared" si="1"/>
        <v>0</v>
      </c>
      <c r="K22">
        <f t="shared" si="2"/>
        <v>1</v>
      </c>
    </row>
    <row r="23" spans="1:11" x14ac:dyDescent="0.35">
      <c r="A23">
        <v>51.03</v>
      </c>
      <c r="B23">
        <v>4.87</v>
      </c>
      <c r="C23">
        <v>1.74</v>
      </c>
      <c r="D23">
        <v>6.2</v>
      </c>
      <c r="E23">
        <v>34.32</v>
      </c>
      <c r="F23" t="s">
        <v>3</v>
      </c>
      <c r="G23" t="s">
        <v>4</v>
      </c>
      <c r="H23">
        <v>0</v>
      </c>
      <c r="I23" t="str">
        <f t="shared" si="0"/>
        <v>Poor Sleeper</v>
      </c>
      <c r="J23">
        <f t="shared" si="1"/>
        <v>0</v>
      </c>
      <c r="K23">
        <f t="shared" si="2"/>
        <v>1</v>
      </c>
    </row>
    <row r="24" spans="1:11" x14ac:dyDescent="0.35">
      <c r="A24">
        <v>59.8</v>
      </c>
      <c r="B24">
        <v>9.9</v>
      </c>
      <c r="C24">
        <v>1.88</v>
      </c>
      <c r="D24">
        <v>10.69</v>
      </c>
      <c r="E24">
        <v>37.9</v>
      </c>
      <c r="F24" t="s">
        <v>2</v>
      </c>
      <c r="G24" t="s">
        <v>4</v>
      </c>
      <c r="H24">
        <v>0</v>
      </c>
      <c r="I24" t="str">
        <f t="shared" si="0"/>
        <v>Good Sleeper</v>
      </c>
      <c r="J24">
        <f t="shared" si="1"/>
        <v>0</v>
      </c>
      <c r="K24">
        <f t="shared" si="2"/>
        <v>1</v>
      </c>
    </row>
    <row r="25" spans="1:11" x14ac:dyDescent="0.35">
      <c r="A25">
        <v>37.99</v>
      </c>
      <c r="B25">
        <v>2.0099999999999998</v>
      </c>
      <c r="C25">
        <v>2.4500000000000002</v>
      </c>
      <c r="D25">
        <v>8.93</v>
      </c>
      <c r="E25">
        <v>28.24</v>
      </c>
      <c r="F25" t="s">
        <v>0</v>
      </c>
      <c r="G25" t="s">
        <v>4</v>
      </c>
      <c r="H25">
        <v>0</v>
      </c>
      <c r="I25" t="str">
        <f t="shared" si="0"/>
        <v>Poor Sleeper</v>
      </c>
      <c r="J25">
        <f t="shared" si="1"/>
        <v>0</v>
      </c>
      <c r="K25">
        <f t="shared" si="2"/>
        <v>1</v>
      </c>
    </row>
    <row r="26" spans="1:11" x14ac:dyDescent="0.35">
      <c r="A26">
        <v>69.52</v>
      </c>
      <c r="B26">
        <v>4.09</v>
      </c>
      <c r="C26">
        <v>2.48</v>
      </c>
      <c r="D26">
        <v>1</v>
      </c>
      <c r="E26">
        <v>23.61</v>
      </c>
      <c r="F26" t="s">
        <v>2</v>
      </c>
      <c r="G26" t="s">
        <v>4</v>
      </c>
      <c r="H26">
        <v>0</v>
      </c>
      <c r="I26" t="str">
        <f t="shared" si="0"/>
        <v>Poor Sleeper</v>
      </c>
      <c r="J26">
        <f t="shared" si="1"/>
        <v>1</v>
      </c>
      <c r="K26">
        <f t="shared" si="2"/>
        <v>1</v>
      </c>
    </row>
    <row r="27" spans="1:11" x14ac:dyDescent="0.35">
      <c r="A27">
        <v>19.809999999999999</v>
      </c>
      <c r="B27">
        <v>4.1100000000000003</v>
      </c>
      <c r="C27">
        <v>2.7</v>
      </c>
      <c r="D27">
        <v>9.6199999999999992</v>
      </c>
      <c r="E27">
        <v>38.36</v>
      </c>
      <c r="F27" t="s">
        <v>0</v>
      </c>
      <c r="G27" t="s">
        <v>4</v>
      </c>
      <c r="H27">
        <v>0</v>
      </c>
      <c r="I27" t="str">
        <f t="shared" si="0"/>
        <v>Poor Sleeper</v>
      </c>
      <c r="J27">
        <f t="shared" si="1"/>
        <v>0</v>
      </c>
      <c r="K27">
        <f t="shared" si="2"/>
        <v>1</v>
      </c>
    </row>
    <row r="28" spans="1:11" x14ac:dyDescent="0.35">
      <c r="A28">
        <v>18.03</v>
      </c>
      <c r="B28">
        <v>6.53</v>
      </c>
      <c r="C28">
        <v>4.0199999999999996</v>
      </c>
      <c r="D28">
        <v>7.77</v>
      </c>
      <c r="E28">
        <v>27.95</v>
      </c>
      <c r="F28" t="s">
        <v>3</v>
      </c>
      <c r="G28" t="s">
        <v>4</v>
      </c>
      <c r="H28">
        <v>0</v>
      </c>
      <c r="I28" t="str">
        <f t="shared" si="0"/>
        <v>Good Sleeper</v>
      </c>
      <c r="J28">
        <f t="shared" si="1"/>
        <v>0</v>
      </c>
      <c r="K28">
        <f t="shared" si="2"/>
        <v>1</v>
      </c>
    </row>
    <row r="29" spans="1:11" x14ac:dyDescent="0.35">
      <c r="A29">
        <v>17.04</v>
      </c>
      <c r="B29">
        <v>5.34</v>
      </c>
      <c r="C29">
        <v>4.24</v>
      </c>
      <c r="D29">
        <v>6.97</v>
      </c>
      <c r="E29">
        <v>2.88</v>
      </c>
      <c r="F29" t="s">
        <v>2</v>
      </c>
      <c r="G29" t="s">
        <v>4</v>
      </c>
      <c r="H29">
        <v>0</v>
      </c>
      <c r="I29" t="str">
        <f t="shared" si="0"/>
        <v>Poor Sleeper</v>
      </c>
      <c r="J29">
        <f t="shared" si="1"/>
        <v>0</v>
      </c>
      <c r="K29">
        <f t="shared" si="2"/>
        <v>1</v>
      </c>
    </row>
    <row r="30" spans="1:11" x14ac:dyDescent="0.35">
      <c r="A30">
        <v>29.1</v>
      </c>
      <c r="B30">
        <v>6.66</v>
      </c>
      <c r="C30">
        <v>5.31</v>
      </c>
      <c r="D30">
        <v>5.19</v>
      </c>
      <c r="E30">
        <v>45.51</v>
      </c>
      <c r="F30" t="s">
        <v>2</v>
      </c>
      <c r="G30" t="s">
        <v>4</v>
      </c>
      <c r="H30">
        <v>0</v>
      </c>
      <c r="I30" t="str">
        <f t="shared" si="0"/>
        <v>Good Sleeper</v>
      </c>
      <c r="J30">
        <f t="shared" si="1"/>
        <v>0</v>
      </c>
      <c r="K30">
        <f t="shared" si="2"/>
        <v>1</v>
      </c>
    </row>
    <row r="31" spans="1:11" x14ac:dyDescent="0.35">
      <c r="A31">
        <v>5</v>
      </c>
      <c r="B31">
        <v>2.63</v>
      </c>
      <c r="C31">
        <v>5.58</v>
      </c>
      <c r="D31">
        <v>7.15</v>
      </c>
      <c r="E31">
        <v>7.03</v>
      </c>
      <c r="F31" t="s">
        <v>2</v>
      </c>
      <c r="G31" t="s">
        <v>4</v>
      </c>
      <c r="H31">
        <v>0</v>
      </c>
      <c r="I31" t="str">
        <f t="shared" si="0"/>
        <v>Poor Sleeper</v>
      </c>
      <c r="J31">
        <f t="shared" si="1"/>
        <v>0</v>
      </c>
      <c r="K31">
        <f t="shared" si="2"/>
        <v>1</v>
      </c>
    </row>
    <row r="32" spans="1:11" x14ac:dyDescent="0.35">
      <c r="A32">
        <v>8.3800000000000008</v>
      </c>
      <c r="B32">
        <v>4.6399999999999997</v>
      </c>
      <c r="C32">
        <v>9.5500000000000007</v>
      </c>
      <c r="D32">
        <v>12.04</v>
      </c>
      <c r="E32">
        <v>38.090000000000003</v>
      </c>
      <c r="F32" t="s">
        <v>3</v>
      </c>
      <c r="G32" t="s">
        <v>4</v>
      </c>
      <c r="H32">
        <v>0</v>
      </c>
      <c r="I32" t="str">
        <f t="shared" si="0"/>
        <v>Poor Sleeper</v>
      </c>
      <c r="J32">
        <f t="shared" si="1"/>
        <v>0</v>
      </c>
      <c r="K32">
        <f t="shared" si="2"/>
        <v>1</v>
      </c>
    </row>
    <row r="33" spans="1:11" x14ac:dyDescent="0.35">
      <c r="A33">
        <v>22.59</v>
      </c>
      <c r="B33">
        <v>7.6</v>
      </c>
      <c r="C33">
        <v>3.9</v>
      </c>
      <c r="D33">
        <v>6.11</v>
      </c>
      <c r="E33">
        <v>48.8</v>
      </c>
      <c r="F33" t="s">
        <v>3</v>
      </c>
      <c r="G33" t="s">
        <v>1</v>
      </c>
      <c r="H33">
        <v>1</v>
      </c>
      <c r="I33" t="str">
        <f t="shared" si="0"/>
        <v>Good Sleeper</v>
      </c>
      <c r="J33">
        <f t="shared" si="1"/>
        <v>0</v>
      </c>
      <c r="K33">
        <f t="shared" si="2"/>
        <v>1</v>
      </c>
    </row>
    <row r="34" spans="1:11" x14ac:dyDescent="0.35">
      <c r="A34">
        <v>46.32</v>
      </c>
      <c r="B34">
        <v>7.52</v>
      </c>
      <c r="C34">
        <v>4.22</v>
      </c>
      <c r="D34">
        <v>6.8</v>
      </c>
      <c r="E34">
        <v>13.23</v>
      </c>
      <c r="F34" t="s">
        <v>2</v>
      </c>
      <c r="G34" t="s">
        <v>1</v>
      </c>
      <c r="H34">
        <v>1</v>
      </c>
      <c r="I34" t="str">
        <f t="shared" si="0"/>
        <v>Good Sleeper</v>
      </c>
      <c r="J34">
        <f t="shared" si="1"/>
        <v>0</v>
      </c>
      <c r="K34">
        <f t="shared" si="2"/>
        <v>1</v>
      </c>
    </row>
    <row r="35" spans="1:11" x14ac:dyDescent="0.35">
      <c r="A35">
        <v>23.89</v>
      </c>
      <c r="B35">
        <v>6.11</v>
      </c>
      <c r="C35">
        <v>4.84</v>
      </c>
      <c r="D35">
        <v>10.32</v>
      </c>
      <c r="E35">
        <v>0</v>
      </c>
      <c r="F35" t="s">
        <v>0</v>
      </c>
      <c r="G35" t="s">
        <v>1</v>
      </c>
      <c r="H35">
        <v>1</v>
      </c>
      <c r="I35" t="str">
        <f t="shared" si="0"/>
        <v>Good Sleeper</v>
      </c>
      <c r="J35">
        <f t="shared" si="1"/>
        <v>0</v>
      </c>
      <c r="K35">
        <f t="shared" si="2"/>
        <v>1</v>
      </c>
    </row>
    <row r="36" spans="1:11" x14ac:dyDescent="0.35">
      <c r="A36">
        <v>42.42</v>
      </c>
      <c r="B36">
        <v>2.77</v>
      </c>
      <c r="C36">
        <v>0</v>
      </c>
      <c r="D36">
        <v>5.09</v>
      </c>
      <c r="E36">
        <v>36.14</v>
      </c>
      <c r="F36" t="s">
        <v>2</v>
      </c>
      <c r="G36" t="s">
        <v>4</v>
      </c>
      <c r="H36">
        <v>1</v>
      </c>
      <c r="I36" t="str">
        <f t="shared" si="0"/>
        <v>Poor Sleeper</v>
      </c>
      <c r="J36">
        <f t="shared" si="1"/>
        <v>0</v>
      </c>
      <c r="K36">
        <f t="shared" si="2"/>
        <v>0</v>
      </c>
    </row>
    <row r="37" spans="1:11" x14ac:dyDescent="0.35">
      <c r="A37">
        <v>73.02</v>
      </c>
      <c r="B37">
        <v>6.82</v>
      </c>
      <c r="C37">
        <v>0.28000000000000003</v>
      </c>
      <c r="D37">
        <v>6.25</v>
      </c>
      <c r="E37">
        <v>44.21</v>
      </c>
      <c r="F37" t="s">
        <v>2</v>
      </c>
      <c r="G37" t="s">
        <v>4</v>
      </c>
      <c r="H37">
        <v>1</v>
      </c>
      <c r="I37" t="str">
        <f t="shared" si="0"/>
        <v>Good Sleeper</v>
      </c>
      <c r="J37">
        <f t="shared" si="1"/>
        <v>0</v>
      </c>
      <c r="K37">
        <f t="shared" si="2"/>
        <v>1</v>
      </c>
    </row>
    <row r="38" spans="1:11" x14ac:dyDescent="0.35">
      <c r="A38">
        <v>71.23</v>
      </c>
      <c r="B38">
        <v>7.46</v>
      </c>
      <c r="C38">
        <v>0.66</v>
      </c>
      <c r="D38">
        <v>3.95</v>
      </c>
      <c r="E38">
        <v>50.87</v>
      </c>
      <c r="F38" t="s">
        <v>0</v>
      </c>
      <c r="G38" t="s">
        <v>4</v>
      </c>
      <c r="H38">
        <v>1</v>
      </c>
      <c r="I38" t="str">
        <f t="shared" si="0"/>
        <v>Good Sleeper</v>
      </c>
      <c r="J38">
        <f t="shared" si="1"/>
        <v>0</v>
      </c>
      <c r="K38">
        <f t="shared" si="2"/>
        <v>1</v>
      </c>
    </row>
    <row r="39" spans="1:11" x14ac:dyDescent="0.35">
      <c r="A39">
        <v>51.97</v>
      </c>
      <c r="B39">
        <v>1</v>
      </c>
      <c r="C39">
        <v>1.35</v>
      </c>
      <c r="D39">
        <v>5.0199999999999996</v>
      </c>
      <c r="E39">
        <v>20.48</v>
      </c>
      <c r="F39" t="s">
        <v>0</v>
      </c>
      <c r="G39" t="s">
        <v>4</v>
      </c>
      <c r="H39">
        <v>1</v>
      </c>
      <c r="I39" t="str">
        <f t="shared" si="0"/>
        <v>Poor Sleeper</v>
      </c>
      <c r="J39">
        <f t="shared" si="1"/>
        <v>1</v>
      </c>
      <c r="K39">
        <f t="shared" si="2"/>
        <v>1</v>
      </c>
    </row>
    <row r="40" spans="1:11" x14ac:dyDescent="0.35">
      <c r="A40">
        <v>73.84</v>
      </c>
      <c r="B40">
        <v>6.34</v>
      </c>
      <c r="C40">
        <v>1.44</v>
      </c>
      <c r="D40">
        <v>9.35</v>
      </c>
      <c r="E40">
        <v>27.31</v>
      </c>
      <c r="F40" t="s">
        <v>3</v>
      </c>
      <c r="G40" t="s">
        <v>4</v>
      </c>
      <c r="H40">
        <v>1</v>
      </c>
      <c r="I40" t="str">
        <f t="shared" si="0"/>
        <v>Good Sleeper</v>
      </c>
      <c r="J40">
        <f t="shared" si="1"/>
        <v>1</v>
      </c>
      <c r="K40">
        <f t="shared" si="2"/>
        <v>1</v>
      </c>
    </row>
    <row r="41" spans="1:11" x14ac:dyDescent="0.35">
      <c r="A41">
        <v>74.12</v>
      </c>
      <c r="B41">
        <v>7.56</v>
      </c>
      <c r="C41">
        <v>2.35</v>
      </c>
      <c r="D41">
        <v>6.16</v>
      </c>
      <c r="E41">
        <v>27.19</v>
      </c>
      <c r="F41" t="s">
        <v>2</v>
      </c>
      <c r="G41" t="s">
        <v>4</v>
      </c>
      <c r="H41">
        <v>1</v>
      </c>
      <c r="I41" t="str">
        <f t="shared" si="0"/>
        <v>Good Sleeper</v>
      </c>
      <c r="J41">
        <f t="shared" si="1"/>
        <v>1</v>
      </c>
      <c r="K41">
        <f t="shared" si="2"/>
        <v>1</v>
      </c>
    </row>
    <row r="42" spans="1:11" x14ac:dyDescent="0.35">
      <c r="A42">
        <v>38.69</v>
      </c>
      <c r="B42">
        <v>8.75</v>
      </c>
      <c r="C42">
        <v>3.47</v>
      </c>
      <c r="D42">
        <v>4.82</v>
      </c>
      <c r="E42">
        <v>0</v>
      </c>
      <c r="F42" t="s">
        <v>2</v>
      </c>
      <c r="G42" t="s">
        <v>4</v>
      </c>
      <c r="H42">
        <v>1</v>
      </c>
      <c r="I42" t="str">
        <f t="shared" si="0"/>
        <v>Good Sleeper</v>
      </c>
      <c r="J42">
        <f t="shared" si="1"/>
        <v>0</v>
      </c>
      <c r="K42">
        <f t="shared" si="2"/>
        <v>1</v>
      </c>
    </row>
    <row r="43" spans="1:11" x14ac:dyDescent="0.35">
      <c r="A43">
        <v>73.11</v>
      </c>
      <c r="B43">
        <v>2.3199999999999998</v>
      </c>
      <c r="C43">
        <v>4.45</v>
      </c>
      <c r="D43">
        <v>8.5299999999999994</v>
      </c>
      <c r="E43">
        <v>29.78</v>
      </c>
      <c r="F43" t="s">
        <v>2</v>
      </c>
      <c r="G43" t="s">
        <v>4</v>
      </c>
      <c r="H43">
        <v>1</v>
      </c>
      <c r="I43" t="str">
        <f t="shared" si="0"/>
        <v>Poor Sleeper</v>
      </c>
      <c r="J43">
        <f t="shared" si="1"/>
        <v>1</v>
      </c>
      <c r="K43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C24372973 Mohammed Younis</dc:creator>
  <cp:lastModifiedBy>C24372973 Mohammed Younis</cp:lastModifiedBy>
  <dcterms:created xsi:type="dcterms:W3CDTF">2025-11-26T14:15:44Z</dcterms:created>
  <dcterms:modified xsi:type="dcterms:W3CDTF">2025-11-26T17:06:39Z</dcterms:modified>
</cp:coreProperties>
</file>